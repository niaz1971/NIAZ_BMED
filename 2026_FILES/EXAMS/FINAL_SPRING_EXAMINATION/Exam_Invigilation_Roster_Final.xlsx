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.A COMPUTER\OneDrive\Desktop\Print\MID_FALL_2026\"/>
    </mc:Choice>
  </mc:AlternateContent>
  <bookViews>
    <workbookView xWindow="0" yWindow="0" windowWidth="20490" windowHeight="7350" tabRatio="500" activeTab="2"/>
  </bookViews>
  <sheets>
    <sheet name="Setup" sheetId="1" r:id="rId1"/>
    <sheet name="Roster" sheetId="2" r:id="rId2"/>
    <sheet name="Duty Count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3" i="3" l="1"/>
  <c r="B43" i="3" s="1"/>
  <c r="A42" i="3"/>
  <c r="B42" i="3" s="1"/>
  <c r="A41" i="3"/>
  <c r="B41" i="3" s="1"/>
  <c r="A40" i="3"/>
  <c r="B40" i="3" s="1"/>
  <c r="A39" i="3"/>
  <c r="B39" i="3" s="1"/>
  <c r="A38" i="3"/>
  <c r="B38" i="3" s="1"/>
  <c r="A37" i="3"/>
  <c r="B37" i="3" s="1"/>
  <c r="A36" i="3"/>
  <c r="B36" i="3" s="1"/>
  <c r="A35" i="3"/>
  <c r="B35" i="3" s="1"/>
  <c r="A34" i="3"/>
  <c r="B34" i="3" s="1"/>
  <c r="A33" i="3"/>
  <c r="B33" i="3" s="1"/>
  <c r="A32" i="3"/>
  <c r="B32" i="3" s="1"/>
  <c r="A31" i="3"/>
  <c r="B31" i="3" s="1"/>
  <c r="A30" i="3"/>
  <c r="B30" i="3" s="1"/>
  <c r="A29" i="3"/>
  <c r="B29" i="3" s="1"/>
  <c r="A28" i="3"/>
  <c r="B28" i="3" s="1"/>
  <c r="A27" i="3"/>
  <c r="B27" i="3" s="1"/>
  <c r="A26" i="3"/>
  <c r="B26" i="3" s="1"/>
  <c r="A25" i="3"/>
  <c r="B25" i="3" s="1"/>
  <c r="B24" i="3"/>
  <c r="A24" i="3"/>
  <c r="A23" i="3"/>
  <c r="B23" i="3" s="1"/>
  <c r="A22" i="3"/>
  <c r="B22" i="3" s="1"/>
  <c r="A21" i="3"/>
  <c r="B21" i="3" s="1"/>
  <c r="A20" i="3"/>
  <c r="B20" i="3" s="1"/>
  <c r="A19" i="3"/>
  <c r="B19" i="3" s="1"/>
  <c r="A18" i="3"/>
  <c r="B18" i="3" s="1"/>
  <c r="A17" i="3"/>
  <c r="B17" i="3" s="1"/>
  <c r="A16" i="3"/>
  <c r="B16" i="3" s="1"/>
  <c r="A15" i="3"/>
  <c r="B15" i="3" s="1"/>
  <c r="A14" i="3"/>
  <c r="B14" i="3" s="1"/>
  <c r="A13" i="3"/>
  <c r="B13" i="3" s="1"/>
  <c r="A12" i="3"/>
  <c r="B12" i="3" s="1"/>
  <c r="A11" i="3"/>
  <c r="B11" i="3" s="1"/>
  <c r="A10" i="3"/>
  <c r="B10" i="3" s="1"/>
  <c r="A9" i="3"/>
  <c r="B9" i="3" s="1"/>
  <c r="A8" i="3"/>
  <c r="B8" i="3" s="1"/>
  <c r="A7" i="3"/>
  <c r="B7" i="3" s="1"/>
  <c r="A6" i="3"/>
  <c r="B6" i="3" s="1"/>
  <c r="A5" i="3"/>
  <c r="B5" i="3" s="1"/>
  <c r="A4" i="3"/>
  <c r="B4" i="3" s="1"/>
  <c r="M36" i="2"/>
  <c r="C36" i="2"/>
  <c r="M35" i="2"/>
  <c r="C35" i="2"/>
  <c r="M34" i="2"/>
  <c r="C34" i="2"/>
  <c r="A34" i="2"/>
  <c r="M33" i="2"/>
  <c r="C33" i="2"/>
  <c r="B33" i="2"/>
  <c r="M32" i="2"/>
  <c r="C32" i="2"/>
  <c r="M31" i="2"/>
  <c r="C31" i="2"/>
  <c r="M30" i="2"/>
  <c r="C30" i="2"/>
  <c r="A30" i="2"/>
  <c r="M29" i="2"/>
  <c r="C29" i="2"/>
  <c r="B29" i="2"/>
  <c r="M28" i="2"/>
  <c r="C28" i="2"/>
  <c r="M27" i="2"/>
  <c r="C27" i="2"/>
  <c r="M26" i="2"/>
  <c r="C26" i="2"/>
  <c r="A26" i="2"/>
  <c r="M25" i="2"/>
  <c r="C25" i="2"/>
  <c r="B25" i="2"/>
  <c r="M24" i="2"/>
  <c r="C24" i="2"/>
  <c r="M23" i="2"/>
  <c r="C23" i="2"/>
  <c r="M22" i="2"/>
  <c r="C22" i="2"/>
  <c r="A22" i="2"/>
  <c r="M21" i="2"/>
  <c r="C21" i="2"/>
  <c r="B21" i="2"/>
  <c r="M20" i="2"/>
  <c r="C20" i="2"/>
  <c r="M19" i="2"/>
  <c r="C19" i="2"/>
  <c r="M18" i="2"/>
  <c r="C18" i="2"/>
  <c r="A18" i="2"/>
  <c r="M17" i="2"/>
  <c r="C17" i="2"/>
  <c r="B17" i="2"/>
  <c r="M16" i="2"/>
  <c r="C16" i="2"/>
  <c r="M15" i="2"/>
  <c r="C15" i="2"/>
  <c r="M14" i="2"/>
  <c r="C14" i="2"/>
  <c r="A14" i="2"/>
  <c r="M13" i="2"/>
  <c r="C13" i="2"/>
  <c r="B13" i="2"/>
  <c r="M12" i="2"/>
  <c r="C12" i="2"/>
  <c r="M11" i="2"/>
  <c r="C11" i="2"/>
  <c r="M10" i="2"/>
  <c r="C10" i="2"/>
  <c r="A10" i="2"/>
  <c r="M9" i="2"/>
  <c r="C9" i="2"/>
  <c r="B9" i="2"/>
  <c r="M8" i="2"/>
  <c r="C8" i="2"/>
  <c r="M7" i="2"/>
  <c r="C7" i="2"/>
  <c r="M6" i="2"/>
  <c r="C6" i="2"/>
  <c r="A6" i="2"/>
  <c r="M5" i="2"/>
  <c r="C5" i="2"/>
  <c r="B5" i="2"/>
  <c r="K3" i="2"/>
  <c r="I3" i="2"/>
  <c r="G3" i="2"/>
  <c r="E3" i="2"/>
  <c r="A1" i="2"/>
  <c r="D9" i="1"/>
  <c r="D8" i="1"/>
  <c r="D11" i="2" s="1"/>
  <c r="D7" i="1"/>
  <c r="D6" i="1"/>
  <c r="A23" i="2" l="1"/>
  <c r="B22" i="2"/>
  <c r="D36" i="2"/>
  <c r="D32" i="2"/>
  <c r="D28" i="2"/>
  <c r="D24" i="2"/>
  <c r="D20" i="2"/>
  <c r="D16" i="2"/>
  <c r="D12" i="2"/>
  <c r="D8" i="2"/>
  <c r="D27" i="2"/>
  <c r="D19" i="2"/>
  <c r="D23" i="2"/>
  <c r="D35" i="2"/>
  <c r="D31" i="2"/>
  <c r="D15" i="2"/>
  <c r="D7" i="2"/>
  <c r="D34" i="2"/>
  <c r="D30" i="2"/>
  <c r="D26" i="2"/>
  <c r="D22" i="2"/>
  <c r="D18" i="2"/>
  <c r="D14" i="2"/>
  <c r="D10" i="2"/>
  <c r="D6" i="2"/>
  <c r="D29" i="2"/>
  <c r="D33" i="2"/>
  <c r="D17" i="2"/>
  <c r="D5" i="2"/>
  <c r="D25" i="2"/>
  <c r="D21" i="2"/>
  <c r="D13" i="2"/>
  <c r="D9" i="2"/>
  <c r="A35" i="2"/>
  <c r="B34" i="2"/>
  <c r="A31" i="2"/>
  <c r="B30" i="2"/>
  <c r="A27" i="2"/>
  <c r="B26" i="2"/>
  <c r="A19" i="2"/>
  <c r="B18" i="2"/>
  <c r="A15" i="2"/>
  <c r="B14" i="2"/>
  <c r="A11" i="2"/>
  <c r="B10" i="2"/>
  <c r="B6" i="2"/>
  <c r="A7" i="2"/>
  <c r="A24" i="2" l="1"/>
  <c r="B24" i="2" s="1"/>
  <c r="B23" i="2"/>
  <c r="B35" i="2"/>
  <c r="A36" i="2"/>
  <c r="B36" i="2" s="1"/>
  <c r="A32" i="2"/>
  <c r="B32" i="2" s="1"/>
  <c r="B31" i="2"/>
  <c r="B27" i="2"/>
  <c r="A28" i="2"/>
  <c r="B28" i="2" s="1"/>
  <c r="B19" i="2"/>
  <c r="A20" i="2"/>
  <c r="B20" i="2" s="1"/>
  <c r="B15" i="2"/>
  <c r="A16" i="2"/>
  <c r="B16" i="2" s="1"/>
  <c r="B11" i="2"/>
  <c r="A12" i="2"/>
  <c r="B12" i="2" s="1"/>
  <c r="B7" i="2"/>
  <c r="A8" i="2"/>
  <c r="B8" i="2" s="1"/>
</calcChain>
</file>

<file path=xl/sharedStrings.xml><?xml version="1.0" encoding="utf-8"?>
<sst xmlns="http://schemas.openxmlformats.org/spreadsheetml/2006/main" count="79" uniqueCount="45">
  <si>
    <t>Exam Invigilation Roster – Setup</t>
  </si>
  <si>
    <t>Yellow cells are for you to edit. Everything else updates automatically.</t>
  </si>
  <si>
    <t>Exam / Term:</t>
  </si>
  <si>
    <t>Mid-Term Examination 2026</t>
  </si>
  <si>
    <t>Session</t>
  </si>
  <si>
    <t>Start</t>
  </si>
  <si>
    <t>End</t>
  </si>
  <si>
    <t>Timing label</t>
  </si>
  <si>
    <t>Invigilator Pool (names)</t>
  </si>
  <si>
    <t>Replace the sample names with your staff list (up to 40). The Roster dropdowns read from this list.</t>
  </si>
  <si>
    <t>Session 1</t>
  </si>
  <si>
    <t>Invigilator 1</t>
  </si>
  <si>
    <t>Session 2</t>
  </si>
  <si>
    <t>Invigilator 2</t>
  </si>
  <si>
    <t>Session 3</t>
  </si>
  <si>
    <t>Session 4</t>
  </si>
  <si>
    <t>Exam Rooms</t>
  </si>
  <si>
    <t>Room 1</t>
  </si>
  <si>
    <t>Room 2</t>
  </si>
  <si>
    <t>Room 3</t>
  </si>
  <si>
    <t>Room 4</t>
  </si>
  <si>
    <t>Check</t>
  </si>
  <si>
    <t>Date</t>
  </si>
  <si>
    <t>Day</t>
  </si>
  <si>
    <t>Timing</t>
  </si>
  <si>
    <t>Approved by (Controller of Exams): ____________________</t>
  </si>
  <si>
    <t>Duty Count per Invigilator (for fair distribution)</t>
  </si>
  <si>
    <t>Invigilator</t>
  </si>
  <si>
    <t>Total duties</t>
  </si>
  <si>
    <t>13:30:00 PM</t>
  </si>
  <si>
    <t>Dr. Salah Uddin</t>
  </si>
  <si>
    <t>Dr. Zulfiqar Ali</t>
  </si>
  <si>
    <t>Dr. Gohar Nadeem</t>
  </si>
  <si>
    <t>Dr. Muhammad Noor</t>
  </si>
  <si>
    <t>Sharfuddin</t>
  </si>
  <si>
    <t>Zahoor Ahmed</t>
  </si>
  <si>
    <t>Shakeel Ahmed</t>
  </si>
  <si>
    <t>Abdullah Shah</t>
  </si>
  <si>
    <t>Mustansar Hussain</t>
  </si>
  <si>
    <t>Syummaya</t>
  </si>
  <si>
    <t>Syed Hasnain Shah</t>
  </si>
  <si>
    <t>Javed Ahmed</t>
  </si>
  <si>
    <t>Mujeeb Ur Rehman</t>
  </si>
  <si>
    <t>Ghazala Haider</t>
  </si>
  <si>
    <t>Prepared by: Dr. Salah 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</si>
</sst>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1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sz val="11"/>
      <color rgb="FF80808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18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3" borderId="0" xfId="0" applyFill="1"/>
    <xf numFmtId="164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2" borderId="1" xfId="0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zoomScaleNormal="100" workbookViewId="0">
      <selection activeCell="A2" sqref="A2"/>
    </sheetView>
  </sheetViews>
  <sheetFormatPr defaultColWidth="8.7109375" defaultRowHeight="15" x14ac:dyDescent="0.25"/>
  <cols>
    <col min="1" max="1" width="16" customWidth="1"/>
    <col min="2" max="3" width="12" customWidth="1"/>
    <col min="4" max="4" width="24" customWidth="1"/>
    <col min="5" max="5" width="3" customWidth="1"/>
    <col min="6" max="6" width="26" customWidth="1"/>
    <col min="7" max="7" width="3" customWidth="1"/>
  </cols>
  <sheetData>
    <row r="1" spans="1:8" ht="18" x14ac:dyDescent="0.25">
      <c r="A1" s="1" t="s">
        <v>0</v>
      </c>
    </row>
    <row r="2" spans="1:8" x14ac:dyDescent="0.25">
      <c r="A2" s="2" t="s">
        <v>1</v>
      </c>
    </row>
    <row r="3" spans="1:8" x14ac:dyDescent="0.25">
      <c r="A3" s="3" t="s">
        <v>2</v>
      </c>
      <c r="B3" s="14" t="s">
        <v>3</v>
      </c>
      <c r="C3" s="14"/>
      <c r="D3" s="14"/>
    </row>
    <row r="5" spans="1:8" x14ac:dyDescent="0.25">
      <c r="A5" s="5" t="s">
        <v>4</v>
      </c>
      <c r="B5" s="5" t="s">
        <v>5</v>
      </c>
      <c r="C5" s="5" t="s">
        <v>6</v>
      </c>
      <c r="D5" s="5" t="s">
        <v>7</v>
      </c>
      <c r="F5" s="5" t="s">
        <v>8</v>
      </c>
      <c r="H5" s="2" t="s">
        <v>9</v>
      </c>
    </row>
    <row r="6" spans="1:8" x14ac:dyDescent="0.25">
      <c r="A6" s="4" t="s">
        <v>10</v>
      </c>
      <c r="B6" s="6">
        <v>0.39583333333333331</v>
      </c>
      <c r="C6" s="6">
        <v>0.4375</v>
      </c>
      <c r="D6" s="7" t="str">
        <f>IF(OR(B6="",C6=""),"",TEXT(B6,"h:mm AM/PM")&amp;" – "&amp;TEXT(C6,"h:mm AM/PM"))</f>
        <v>9:30 AM – 10:30 AM</v>
      </c>
      <c r="F6" s="4" t="s">
        <v>30</v>
      </c>
    </row>
    <row r="7" spans="1:8" x14ac:dyDescent="0.25">
      <c r="A7" s="4" t="s">
        <v>12</v>
      </c>
      <c r="B7" s="6">
        <v>0.46527777777777779</v>
      </c>
      <c r="C7" s="6">
        <v>0.5</v>
      </c>
      <c r="D7" s="7" t="str">
        <f>IF(OR(B7="",C7=""),"",TEXT(B7,"h:mm AM/PM")&amp;" – "&amp;TEXT(C7,"h:mm AM/PM"))</f>
        <v>11:10 AM – 12:00 PM</v>
      </c>
      <c r="F7" s="4" t="s">
        <v>31</v>
      </c>
    </row>
    <row r="8" spans="1:8" x14ac:dyDescent="0.25">
      <c r="A8" s="4" t="s">
        <v>14</v>
      </c>
      <c r="B8" s="6">
        <v>0.52083333333333337</v>
      </c>
      <c r="C8" s="6" t="s">
        <v>29</v>
      </c>
      <c r="D8" s="7" t="str">
        <f>IF(OR(B8="",C8=""),"",TEXT(B8,"h:mm AM/PM")&amp;" – "&amp;TEXT(C8,"h:mm AM/PM"))</f>
        <v>12:30 PM – 13:30:00 PM</v>
      </c>
      <c r="F8" s="4" t="s">
        <v>32</v>
      </c>
    </row>
    <row r="9" spans="1:8" x14ac:dyDescent="0.25">
      <c r="A9" s="4" t="s">
        <v>15</v>
      </c>
      <c r="B9" s="6">
        <v>0.625</v>
      </c>
      <c r="C9" s="6">
        <v>0.66666666666666663</v>
      </c>
      <c r="D9" s="7" t="str">
        <f>IF(OR(B9="",C9=""),"",TEXT(B9,"h:mm AM/PM")&amp;" – "&amp;TEXT(C9,"h:mm AM/PM"))</f>
        <v>3:00 PM – 4:00 PM</v>
      </c>
      <c r="F9" s="4" t="s">
        <v>33</v>
      </c>
    </row>
    <row r="10" spans="1:8" x14ac:dyDescent="0.25">
      <c r="F10" s="4" t="s">
        <v>34</v>
      </c>
    </row>
    <row r="11" spans="1:8" x14ac:dyDescent="0.25">
      <c r="F11" s="4" t="s">
        <v>35</v>
      </c>
    </row>
    <row r="12" spans="1:8" x14ac:dyDescent="0.25">
      <c r="A12" s="5" t="s">
        <v>16</v>
      </c>
      <c r="F12" s="4" t="s">
        <v>36</v>
      </c>
    </row>
    <row r="13" spans="1:8" x14ac:dyDescent="0.25">
      <c r="A13" s="4" t="s">
        <v>17</v>
      </c>
      <c r="F13" s="4" t="s">
        <v>37</v>
      </c>
    </row>
    <row r="14" spans="1:8" x14ac:dyDescent="0.25">
      <c r="A14" s="4" t="s">
        <v>18</v>
      </c>
      <c r="F14" s="4" t="s">
        <v>38</v>
      </c>
    </row>
    <row r="15" spans="1:8" x14ac:dyDescent="0.25">
      <c r="A15" s="4" t="s">
        <v>19</v>
      </c>
      <c r="F15" s="4" t="s">
        <v>39</v>
      </c>
    </row>
    <row r="16" spans="1:8" x14ac:dyDescent="0.25">
      <c r="A16" s="4" t="s">
        <v>20</v>
      </c>
      <c r="F16" s="4" t="s">
        <v>40</v>
      </c>
    </row>
    <row r="17" spans="6:6" x14ac:dyDescent="0.25">
      <c r="F17" s="4" t="s">
        <v>41</v>
      </c>
    </row>
    <row r="18" spans="6:6" x14ac:dyDescent="0.25">
      <c r="F18" s="4" t="s">
        <v>42</v>
      </c>
    </row>
    <row r="19" spans="6:6" x14ac:dyDescent="0.25">
      <c r="F19" s="4" t="s">
        <v>43</v>
      </c>
    </row>
    <row r="20" spans="6:6" x14ac:dyDescent="0.25">
      <c r="F20" s="4"/>
    </row>
    <row r="21" spans="6:6" x14ac:dyDescent="0.25">
      <c r="F21" s="4"/>
    </row>
    <row r="22" spans="6:6" x14ac:dyDescent="0.25">
      <c r="F22" s="4"/>
    </row>
    <row r="23" spans="6:6" x14ac:dyDescent="0.25">
      <c r="F23" s="4"/>
    </row>
    <row r="24" spans="6:6" x14ac:dyDescent="0.25">
      <c r="F24" s="4"/>
    </row>
    <row r="25" spans="6:6" x14ac:dyDescent="0.25">
      <c r="F25" s="4"/>
    </row>
    <row r="26" spans="6:6" x14ac:dyDescent="0.25">
      <c r="F26" s="4"/>
    </row>
    <row r="27" spans="6:6" x14ac:dyDescent="0.25">
      <c r="F27" s="4"/>
    </row>
    <row r="28" spans="6:6" x14ac:dyDescent="0.25">
      <c r="F28" s="4"/>
    </row>
    <row r="29" spans="6:6" x14ac:dyDescent="0.25">
      <c r="F29" s="4"/>
    </row>
    <row r="30" spans="6:6" x14ac:dyDescent="0.25">
      <c r="F30" s="4"/>
    </row>
    <row r="31" spans="6:6" x14ac:dyDescent="0.25">
      <c r="F31" s="4"/>
    </row>
    <row r="32" spans="6:6" x14ac:dyDescent="0.25">
      <c r="F32" s="4"/>
    </row>
    <row r="33" spans="6:6" x14ac:dyDescent="0.25">
      <c r="F33" s="4"/>
    </row>
    <row r="34" spans="6:6" x14ac:dyDescent="0.25">
      <c r="F34" s="4"/>
    </row>
    <row r="35" spans="6:6" x14ac:dyDescent="0.25">
      <c r="F35" s="4"/>
    </row>
    <row r="36" spans="6:6" x14ac:dyDescent="0.25">
      <c r="F36" s="4"/>
    </row>
    <row r="37" spans="6:6" x14ac:dyDescent="0.25">
      <c r="F37" s="4"/>
    </row>
    <row r="38" spans="6:6" x14ac:dyDescent="0.25">
      <c r="F38" s="4"/>
    </row>
    <row r="39" spans="6:6" x14ac:dyDescent="0.25">
      <c r="F39" s="4"/>
    </row>
    <row r="40" spans="6:6" x14ac:dyDescent="0.25">
      <c r="F40" s="4"/>
    </row>
    <row r="41" spans="6:6" x14ac:dyDescent="0.25">
      <c r="F41" s="4"/>
    </row>
    <row r="42" spans="6:6" x14ac:dyDescent="0.25">
      <c r="F42" s="4"/>
    </row>
    <row r="43" spans="6:6" x14ac:dyDescent="0.25">
      <c r="F43" s="4"/>
    </row>
    <row r="44" spans="6:6" x14ac:dyDescent="0.25">
      <c r="F44" s="4"/>
    </row>
    <row r="45" spans="6:6" x14ac:dyDescent="0.25">
      <c r="F45" s="4"/>
    </row>
  </sheetData>
  <mergeCells count="1">
    <mergeCell ref="B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8"/>
  <sheetViews>
    <sheetView zoomScaleNormal="100" workbookViewId="0">
      <pane xSplit="4" ySplit="4" topLeftCell="E11" activePane="bottomRight" state="frozen"/>
      <selection pane="topRight" activeCell="E1" sqref="E1"/>
      <selection pane="bottomLeft" activeCell="A5" sqref="A5"/>
      <selection pane="bottomRight" activeCell="K9" sqref="K9"/>
    </sheetView>
  </sheetViews>
  <sheetFormatPr defaultColWidth="8.7109375" defaultRowHeight="15" x14ac:dyDescent="0.25"/>
  <cols>
    <col min="1" max="1" width="14" customWidth="1"/>
    <col min="2" max="2" width="12" customWidth="1"/>
    <col min="3" max="3" width="11" customWidth="1"/>
    <col min="4" max="4" width="23.42578125" bestFit="1" customWidth="1"/>
    <col min="5" max="5" width="14.5703125" customWidth="1"/>
    <col min="6" max="6" width="18.28515625" bestFit="1" customWidth="1"/>
    <col min="7" max="7" width="19.140625" customWidth="1"/>
    <col min="8" max="8" width="16" customWidth="1"/>
    <col min="9" max="9" width="18.7109375" customWidth="1"/>
    <col min="10" max="10" width="16" customWidth="1"/>
    <col min="11" max="11" width="18.7109375" customWidth="1"/>
    <col min="12" max="12" width="16" customWidth="1"/>
    <col min="13" max="13" width="12" customWidth="1"/>
  </cols>
  <sheetData>
    <row r="1" spans="1:13" ht="18" x14ac:dyDescent="0.25">
      <c r="A1" s="1" t="str">
        <f>Setup!B3&amp;" – Invigilation Duty Roster"</f>
        <v>Mid-Term Examination 2026 – Invigilation Duty Roster</v>
      </c>
    </row>
    <row r="2" spans="1:13" x14ac:dyDescent="0.25">
      <c r="A2" s="2"/>
    </row>
    <row r="3" spans="1:13" ht="15" customHeight="1" x14ac:dyDescent="0.25">
      <c r="A3" s="8"/>
      <c r="B3" s="8"/>
      <c r="C3" s="8"/>
      <c r="D3" s="8"/>
      <c r="E3" s="15" t="str">
        <f>Setup!A13</f>
        <v>Room 1</v>
      </c>
      <c r="F3" s="15"/>
      <c r="G3" s="15" t="str">
        <f>Setup!A14</f>
        <v>Room 2</v>
      </c>
      <c r="H3" s="15"/>
      <c r="I3" s="15" t="str">
        <f>Setup!A15</f>
        <v>Room 3</v>
      </c>
      <c r="J3" s="15"/>
      <c r="K3" s="15" t="str">
        <f>Setup!A16</f>
        <v>Room 4</v>
      </c>
      <c r="L3" s="15"/>
      <c r="M3" s="16" t="s">
        <v>21</v>
      </c>
    </row>
    <row r="4" spans="1:13" ht="30" customHeight="1" x14ac:dyDescent="0.25">
      <c r="A4" s="5" t="s">
        <v>22</v>
      </c>
      <c r="B4" s="5" t="s">
        <v>23</v>
      </c>
      <c r="C4" s="5" t="s">
        <v>4</v>
      </c>
      <c r="D4" s="5" t="s">
        <v>24</v>
      </c>
      <c r="E4" s="5" t="s">
        <v>11</v>
      </c>
      <c r="F4" s="5" t="s">
        <v>13</v>
      </c>
      <c r="G4" s="5" t="s">
        <v>11</v>
      </c>
      <c r="H4" s="5" t="s">
        <v>13</v>
      </c>
      <c r="I4" s="5" t="s">
        <v>11</v>
      </c>
      <c r="J4" s="5" t="s">
        <v>13</v>
      </c>
      <c r="K4" s="5" t="s">
        <v>11</v>
      </c>
      <c r="L4" s="5" t="s">
        <v>13</v>
      </c>
      <c r="M4" s="16"/>
    </row>
    <row r="5" spans="1:13" x14ac:dyDescent="0.25">
      <c r="A5" s="9">
        <v>46307</v>
      </c>
      <c r="B5" s="7" t="str">
        <f t="shared" ref="B5:B36" si="0">IF(A5="","",TEXT(A5,"dddd"))</f>
        <v>Monday</v>
      </c>
      <c r="C5" s="7" t="str">
        <f>Setup!$A$6</f>
        <v>Session 1</v>
      </c>
      <c r="D5" s="7" t="str">
        <f>IF(C5="","",IFERROR(INDEX(Setup!$D$6:$D$9,MATCH(C5,Setup!$A$6:$A$9,0)),""))</f>
        <v>9:30 AM – 10:30 AM</v>
      </c>
      <c r="E5" s="10" t="s">
        <v>31</v>
      </c>
      <c r="F5" s="10" t="s">
        <v>38</v>
      </c>
      <c r="G5" s="10" t="s">
        <v>32</v>
      </c>
      <c r="H5" s="10" t="s">
        <v>35</v>
      </c>
      <c r="I5" s="10" t="s">
        <v>33</v>
      </c>
      <c r="J5" s="10" t="s">
        <v>39</v>
      </c>
      <c r="K5" s="10" t="s">
        <v>30</v>
      </c>
      <c r="L5" s="10" t="s">
        <v>41</v>
      </c>
      <c r="M5" s="7" t="str">
        <f t="shared" ref="M5:M36" si="1">IF(COUNTA(E5:L5)=0,"",IF(COUNTA(E5:L5)&lt;8,"Incomplete",IF(SUMPRODUCT((E5:L5&lt;&gt;"")/COUNTIF(E5:L5,E5:L5&amp;""))&lt;8,"Duplicate!","OK")))</f>
        <v>OK</v>
      </c>
    </row>
    <row r="6" spans="1:13" x14ac:dyDescent="0.25">
      <c r="A6" s="11">
        <f>A5</f>
        <v>46307</v>
      </c>
      <c r="B6" s="7" t="str">
        <f t="shared" si="0"/>
        <v>Monday</v>
      </c>
      <c r="C6" s="7" t="str">
        <f>Setup!$A$7</f>
        <v>Session 2</v>
      </c>
      <c r="D6" s="7" t="str">
        <f>IF(C6="","",IFERROR(INDEX(Setup!$D$6:$D$9,MATCH(C6,Setup!$A$6:$A$9,0)),""))</f>
        <v>11:10 AM – 12:00 PM</v>
      </c>
      <c r="E6" s="10" t="s">
        <v>31</v>
      </c>
      <c r="F6" s="10" t="s">
        <v>38</v>
      </c>
      <c r="G6" s="10" t="s">
        <v>32</v>
      </c>
      <c r="H6" s="10" t="s">
        <v>35</v>
      </c>
      <c r="I6" s="10" t="s">
        <v>33</v>
      </c>
      <c r="J6" s="10" t="s">
        <v>39</v>
      </c>
      <c r="K6" s="10" t="s">
        <v>34</v>
      </c>
      <c r="L6" s="10" t="s">
        <v>41</v>
      </c>
      <c r="M6" s="7" t="str">
        <f t="shared" si="1"/>
        <v>OK</v>
      </c>
    </row>
    <row r="7" spans="1:13" x14ac:dyDescent="0.25">
      <c r="A7" s="11">
        <f>A6</f>
        <v>46307</v>
      </c>
      <c r="B7" s="7" t="str">
        <f t="shared" si="0"/>
        <v>Monday</v>
      </c>
      <c r="C7" s="7" t="str">
        <f>Setup!$A$8</f>
        <v>Session 3</v>
      </c>
      <c r="D7" s="7" t="str">
        <f>IF(C7="","",IFERROR(INDEX(Setup!$D$6:$D$9,MATCH(C7,Setup!$A$6:$A$9,0)),""))</f>
        <v>12:30 PM – 13:30:00 PM</v>
      </c>
      <c r="E7" s="10" t="s">
        <v>30</v>
      </c>
      <c r="F7" s="10" t="s">
        <v>43</v>
      </c>
      <c r="G7" s="10" t="s">
        <v>32</v>
      </c>
      <c r="H7" s="10" t="s">
        <v>35</v>
      </c>
      <c r="I7" s="10" t="s">
        <v>38</v>
      </c>
      <c r="J7" s="10" t="s">
        <v>39</v>
      </c>
      <c r="K7" s="10" t="s">
        <v>40</v>
      </c>
      <c r="L7" s="10" t="s">
        <v>41</v>
      </c>
      <c r="M7" s="7" t="str">
        <f t="shared" si="1"/>
        <v>OK</v>
      </c>
    </row>
    <row r="8" spans="1:13" x14ac:dyDescent="0.25">
      <c r="A8" s="11">
        <f>A7</f>
        <v>46307</v>
      </c>
      <c r="B8" s="7" t="str">
        <f t="shared" si="0"/>
        <v>Monday</v>
      </c>
      <c r="C8" s="7" t="str">
        <f>Setup!$A$9</f>
        <v>Session 4</v>
      </c>
      <c r="D8" s="7" t="str">
        <f>IF(C8="","",IFERROR(INDEX(Setup!$D$6:$D$9,MATCH(C8,Setup!$A$6:$A$9,0)),""))</f>
        <v>3:00 PM – 4:00 PM</v>
      </c>
      <c r="E8" s="10" t="s">
        <v>36</v>
      </c>
      <c r="F8" s="10" t="s">
        <v>42</v>
      </c>
      <c r="G8" s="10" t="s">
        <v>37</v>
      </c>
      <c r="H8" s="10"/>
      <c r="I8" s="10"/>
      <c r="J8" s="10"/>
      <c r="K8" s="10"/>
      <c r="L8" s="10"/>
      <c r="M8" s="7" t="str">
        <f t="shared" si="1"/>
        <v>Incomplete</v>
      </c>
    </row>
    <row r="9" spans="1:13" x14ac:dyDescent="0.25">
      <c r="A9" s="9">
        <v>46308</v>
      </c>
      <c r="B9" s="7" t="str">
        <f t="shared" si="0"/>
        <v>Tuesday</v>
      </c>
      <c r="C9" s="7" t="str">
        <f>Setup!$A$6</f>
        <v>Session 1</v>
      </c>
      <c r="D9" s="7" t="str">
        <f>IF(C9="","",IFERROR(INDEX(Setup!$D$6:$D$9,MATCH(C9,Setup!$A$6:$A$9,0)),""))</f>
        <v>9:30 AM – 10:30 AM</v>
      </c>
      <c r="E9" s="10"/>
      <c r="F9" s="10"/>
      <c r="G9" s="10"/>
      <c r="H9" s="10"/>
      <c r="I9" s="10"/>
      <c r="J9" s="10"/>
      <c r="K9" s="10"/>
      <c r="L9" s="10"/>
      <c r="M9" s="7" t="str">
        <f t="shared" si="1"/>
        <v/>
      </c>
    </row>
    <row r="10" spans="1:13" x14ac:dyDescent="0.25">
      <c r="A10" s="11">
        <f>A9</f>
        <v>46308</v>
      </c>
      <c r="B10" s="7" t="str">
        <f t="shared" si="0"/>
        <v>Tuesday</v>
      </c>
      <c r="C10" s="7" t="str">
        <f>Setup!$A$7</f>
        <v>Session 2</v>
      </c>
      <c r="D10" s="7" t="str">
        <f>IF(C10="","",IFERROR(INDEX(Setup!$D$6:$D$9,MATCH(C10,Setup!$A$6:$A$9,0)),""))</f>
        <v>11:10 AM – 12:00 PM</v>
      </c>
      <c r="E10" s="10"/>
      <c r="F10" s="10"/>
      <c r="G10" s="10"/>
      <c r="H10" s="10"/>
      <c r="I10" s="10"/>
      <c r="J10" s="10"/>
      <c r="K10" s="10"/>
      <c r="L10" s="10"/>
      <c r="M10" s="7" t="str">
        <f t="shared" si="1"/>
        <v/>
      </c>
    </row>
    <row r="11" spans="1:13" x14ac:dyDescent="0.25">
      <c r="A11" s="11">
        <f>A10</f>
        <v>46308</v>
      </c>
      <c r="B11" s="7" t="str">
        <f t="shared" si="0"/>
        <v>Tuesday</v>
      </c>
      <c r="C11" s="7" t="str">
        <f>Setup!$A$8</f>
        <v>Session 3</v>
      </c>
      <c r="D11" s="7" t="str">
        <f>IF(C11="","",IFERROR(INDEX(Setup!$D$6:$D$9,MATCH(C11,Setup!$A$6:$A$9,0)),""))</f>
        <v>12:30 PM – 13:30:00 PM</v>
      </c>
      <c r="E11" s="10"/>
      <c r="F11" s="10"/>
      <c r="G11" s="10"/>
      <c r="H11" s="10"/>
      <c r="I11" s="10"/>
      <c r="J11" s="10"/>
      <c r="K11" s="10"/>
      <c r="L11" s="10"/>
      <c r="M11" s="7" t="str">
        <f t="shared" si="1"/>
        <v/>
      </c>
    </row>
    <row r="12" spans="1:13" x14ac:dyDescent="0.25">
      <c r="A12" s="11">
        <f>A11</f>
        <v>46308</v>
      </c>
      <c r="B12" s="7" t="str">
        <f t="shared" si="0"/>
        <v>Tuesday</v>
      </c>
      <c r="C12" s="7" t="str">
        <f>Setup!$A$9</f>
        <v>Session 4</v>
      </c>
      <c r="D12" s="7" t="str">
        <f>IF(C12="","",IFERROR(INDEX(Setup!$D$6:$D$9,MATCH(C12,Setup!$A$6:$A$9,0)),""))</f>
        <v>3:00 PM – 4:00 PM</v>
      </c>
      <c r="E12" s="10"/>
      <c r="F12" s="10"/>
      <c r="G12" s="10"/>
      <c r="H12" s="10"/>
      <c r="I12" s="10"/>
      <c r="J12" s="10"/>
      <c r="K12" s="10"/>
      <c r="L12" s="10"/>
      <c r="M12" s="7" t="str">
        <f t="shared" si="1"/>
        <v/>
      </c>
    </row>
    <row r="13" spans="1:13" x14ac:dyDescent="0.25">
      <c r="A13" s="9">
        <v>46309</v>
      </c>
      <c r="B13" s="7" t="str">
        <f t="shared" si="0"/>
        <v>Wednesday</v>
      </c>
      <c r="C13" s="7" t="str">
        <f>Setup!$A$6</f>
        <v>Session 1</v>
      </c>
      <c r="D13" s="7" t="str">
        <f>IF(C13="","",IFERROR(INDEX(Setup!$D$6:$D$9,MATCH(C13,Setup!$A$6:$A$9,0)),""))</f>
        <v>9:30 AM – 10:30 AM</v>
      </c>
      <c r="E13" s="10"/>
      <c r="F13" s="10"/>
      <c r="G13" s="10"/>
      <c r="H13" s="10"/>
      <c r="I13" s="10"/>
      <c r="J13" s="10"/>
      <c r="K13" s="10"/>
      <c r="L13" s="10"/>
      <c r="M13" s="7" t="str">
        <f t="shared" si="1"/>
        <v/>
      </c>
    </row>
    <row r="14" spans="1:13" x14ac:dyDescent="0.25">
      <c r="A14" s="11">
        <f>A13</f>
        <v>46309</v>
      </c>
      <c r="B14" s="7" t="str">
        <f t="shared" si="0"/>
        <v>Wednesday</v>
      </c>
      <c r="C14" s="7" t="str">
        <f>Setup!$A$7</f>
        <v>Session 2</v>
      </c>
      <c r="D14" s="7" t="str">
        <f>IF(C14="","",IFERROR(INDEX(Setup!$D$6:$D$9,MATCH(C14,Setup!$A$6:$A$9,0)),""))</f>
        <v>11:10 AM – 12:00 PM</v>
      </c>
      <c r="E14" s="10"/>
      <c r="F14" s="10"/>
      <c r="G14" s="10"/>
      <c r="H14" s="10"/>
      <c r="I14" s="10"/>
      <c r="J14" s="10"/>
      <c r="K14" s="10"/>
      <c r="L14" s="10"/>
      <c r="M14" s="7" t="str">
        <f t="shared" si="1"/>
        <v/>
      </c>
    </row>
    <row r="15" spans="1:13" x14ac:dyDescent="0.25">
      <c r="A15" s="11">
        <f>A14</f>
        <v>46309</v>
      </c>
      <c r="B15" s="7" t="str">
        <f t="shared" si="0"/>
        <v>Wednesday</v>
      </c>
      <c r="C15" s="7" t="str">
        <f>Setup!$A$8</f>
        <v>Session 3</v>
      </c>
      <c r="D15" s="7" t="str">
        <f>IF(C15="","",IFERROR(INDEX(Setup!$D$6:$D$9,MATCH(C15,Setup!$A$6:$A$9,0)),""))</f>
        <v>12:30 PM – 13:30:00 PM</v>
      </c>
      <c r="E15" s="10"/>
      <c r="F15" s="10"/>
      <c r="G15" s="10"/>
      <c r="H15" s="10"/>
      <c r="I15" s="10"/>
      <c r="J15" s="10"/>
      <c r="K15" s="10"/>
      <c r="L15" s="10"/>
      <c r="M15" s="7" t="str">
        <f t="shared" si="1"/>
        <v/>
      </c>
    </row>
    <row r="16" spans="1:13" x14ac:dyDescent="0.25">
      <c r="A16" s="11">
        <f>A15</f>
        <v>46309</v>
      </c>
      <c r="B16" s="7" t="str">
        <f t="shared" si="0"/>
        <v>Wednesday</v>
      </c>
      <c r="C16" s="7" t="str">
        <f>Setup!$A$9</f>
        <v>Session 4</v>
      </c>
      <c r="D16" s="7" t="str">
        <f>IF(C16="","",IFERROR(INDEX(Setup!$D$6:$D$9,MATCH(C16,Setup!$A$6:$A$9,0)),""))</f>
        <v>3:00 PM – 4:00 PM</v>
      </c>
      <c r="E16" s="10"/>
      <c r="F16" s="10"/>
      <c r="G16" s="10"/>
      <c r="H16" s="10"/>
      <c r="I16" s="10"/>
      <c r="J16" s="10"/>
      <c r="K16" s="10"/>
      <c r="L16" s="10"/>
      <c r="M16" s="7" t="str">
        <f t="shared" si="1"/>
        <v/>
      </c>
    </row>
    <row r="17" spans="1:13" x14ac:dyDescent="0.25">
      <c r="A17" s="9">
        <v>46310</v>
      </c>
      <c r="B17" s="7" t="str">
        <f t="shared" si="0"/>
        <v>Thursday</v>
      </c>
      <c r="C17" s="7" t="str">
        <f>Setup!$A$6</f>
        <v>Session 1</v>
      </c>
      <c r="D17" s="7" t="str">
        <f>IF(C17="","",IFERROR(INDEX(Setup!$D$6:$D$9,MATCH(C17,Setup!$A$6:$A$9,0)),""))</f>
        <v>9:30 AM – 10:30 AM</v>
      </c>
      <c r="E17" s="10"/>
      <c r="F17" s="10"/>
      <c r="G17" s="10"/>
      <c r="H17" s="10"/>
      <c r="I17" s="10"/>
      <c r="J17" s="10"/>
      <c r="K17" s="10"/>
      <c r="L17" s="10"/>
      <c r="M17" s="7" t="str">
        <f t="shared" si="1"/>
        <v/>
      </c>
    </row>
    <row r="18" spans="1:13" x14ac:dyDescent="0.25">
      <c r="A18" s="11">
        <f>A17</f>
        <v>46310</v>
      </c>
      <c r="B18" s="7" t="str">
        <f t="shared" si="0"/>
        <v>Thursday</v>
      </c>
      <c r="C18" s="7" t="str">
        <f>Setup!$A$7</f>
        <v>Session 2</v>
      </c>
      <c r="D18" s="7" t="str">
        <f>IF(C18="","",IFERROR(INDEX(Setup!$D$6:$D$9,MATCH(C18,Setup!$A$6:$A$9,0)),""))</f>
        <v>11:10 AM – 12:00 PM</v>
      </c>
      <c r="E18" s="10"/>
      <c r="F18" s="10"/>
      <c r="G18" s="10"/>
      <c r="H18" s="10"/>
      <c r="I18" s="10"/>
      <c r="J18" s="10"/>
      <c r="K18" s="10"/>
      <c r="L18" s="10"/>
      <c r="M18" s="7" t="str">
        <f t="shared" si="1"/>
        <v/>
      </c>
    </row>
    <row r="19" spans="1:13" x14ac:dyDescent="0.25">
      <c r="A19" s="11">
        <f>A18</f>
        <v>46310</v>
      </c>
      <c r="B19" s="7" t="str">
        <f t="shared" si="0"/>
        <v>Thursday</v>
      </c>
      <c r="C19" s="7" t="str">
        <f>Setup!$A$8</f>
        <v>Session 3</v>
      </c>
      <c r="D19" s="7" t="str">
        <f>IF(C19="","",IFERROR(INDEX(Setup!$D$6:$D$9,MATCH(C19,Setup!$A$6:$A$9,0)),""))</f>
        <v>12:30 PM – 13:30:00 PM</v>
      </c>
      <c r="E19" s="10"/>
      <c r="F19" s="10"/>
      <c r="G19" s="10"/>
      <c r="H19" s="10"/>
      <c r="I19" s="10"/>
      <c r="J19" s="10"/>
      <c r="K19" s="10"/>
      <c r="L19" s="10"/>
      <c r="M19" s="7" t="str">
        <f t="shared" si="1"/>
        <v/>
      </c>
    </row>
    <row r="20" spans="1:13" x14ac:dyDescent="0.25">
      <c r="A20" s="11">
        <f>A19</f>
        <v>46310</v>
      </c>
      <c r="B20" s="7" t="str">
        <f t="shared" si="0"/>
        <v>Thursday</v>
      </c>
      <c r="C20" s="7" t="str">
        <f>Setup!$A$9</f>
        <v>Session 4</v>
      </c>
      <c r="D20" s="7" t="str">
        <f>IF(C20="","",IFERROR(INDEX(Setup!$D$6:$D$9,MATCH(C20,Setup!$A$6:$A$9,0)),""))</f>
        <v>3:00 PM – 4:00 PM</v>
      </c>
      <c r="E20" s="10"/>
      <c r="F20" s="10"/>
      <c r="G20" s="10"/>
      <c r="H20" s="10"/>
      <c r="I20" s="10"/>
      <c r="J20" s="10"/>
      <c r="K20" s="10"/>
      <c r="L20" s="10"/>
      <c r="M20" s="7" t="str">
        <f t="shared" si="1"/>
        <v/>
      </c>
    </row>
    <row r="21" spans="1:13" x14ac:dyDescent="0.25">
      <c r="A21" s="9">
        <v>46311</v>
      </c>
      <c r="B21" s="7" t="str">
        <f t="shared" si="0"/>
        <v>Friday</v>
      </c>
      <c r="C21" s="7" t="str">
        <f>Setup!$A$6</f>
        <v>Session 1</v>
      </c>
      <c r="D21" s="7" t="str">
        <f>IF(C21="","",IFERROR(INDEX(Setup!$D$6:$D$9,MATCH(C21,Setup!$A$6:$A$9,0)),""))</f>
        <v>9:30 AM – 10:30 AM</v>
      </c>
      <c r="E21" s="10"/>
      <c r="F21" s="10"/>
      <c r="G21" s="10"/>
      <c r="H21" s="10"/>
      <c r="I21" s="10"/>
      <c r="J21" s="10"/>
      <c r="K21" s="10"/>
      <c r="L21" s="10"/>
      <c r="M21" s="7" t="str">
        <f t="shared" si="1"/>
        <v/>
      </c>
    </row>
    <row r="22" spans="1:13" x14ac:dyDescent="0.25">
      <c r="A22" s="11">
        <f>A21</f>
        <v>46311</v>
      </c>
      <c r="B22" s="7" t="str">
        <f t="shared" si="0"/>
        <v>Friday</v>
      </c>
      <c r="C22" s="7" t="str">
        <f>Setup!$A$7</f>
        <v>Session 2</v>
      </c>
      <c r="D22" s="7" t="str">
        <f>IF(C22="","",IFERROR(INDEX(Setup!$D$6:$D$9,MATCH(C22,Setup!$A$6:$A$9,0)),""))</f>
        <v>11:10 AM – 12:00 PM</v>
      </c>
      <c r="E22" s="10"/>
      <c r="F22" s="10"/>
      <c r="G22" s="10"/>
      <c r="H22" s="10"/>
      <c r="I22" s="10"/>
      <c r="J22" s="10"/>
      <c r="K22" s="10"/>
      <c r="L22" s="10"/>
      <c r="M22" s="7" t="str">
        <f t="shared" si="1"/>
        <v/>
      </c>
    </row>
    <row r="23" spans="1:13" x14ac:dyDescent="0.25">
      <c r="A23" s="11">
        <f>A22</f>
        <v>46311</v>
      </c>
      <c r="B23" s="7" t="str">
        <f t="shared" si="0"/>
        <v>Friday</v>
      </c>
      <c r="C23" s="7" t="str">
        <f>Setup!$A$8</f>
        <v>Session 3</v>
      </c>
      <c r="D23" s="7" t="str">
        <f>IF(C23="","",IFERROR(INDEX(Setup!$D$6:$D$9,MATCH(C23,Setup!$A$6:$A$9,0)),""))</f>
        <v>12:30 PM – 13:30:00 PM</v>
      </c>
      <c r="E23" s="10"/>
      <c r="F23" s="10"/>
      <c r="G23" s="10"/>
      <c r="H23" s="10"/>
      <c r="I23" s="10"/>
      <c r="J23" s="10"/>
      <c r="K23" s="10"/>
      <c r="L23" s="10"/>
      <c r="M23" s="7" t="str">
        <f t="shared" si="1"/>
        <v/>
      </c>
    </row>
    <row r="24" spans="1:13" x14ac:dyDescent="0.25">
      <c r="A24" s="11">
        <f>A23</f>
        <v>46311</v>
      </c>
      <c r="B24" s="7" t="str">
        <f t="shared" si="0"/>
        <v>Friday</v>
      </c>
      <c r="C24" s="7" t="str">
        <f>Setup!$A$9</f>
        <v>Session 4</v>
      </c>
      <c r="D24" s="7" t="str">
        <f>IF(C24="","",IFERROR(INDEX(Setup!$D$6:$D$9,MATCH(C24,Setup!$A$6:$A$9,0)),""))</f>
        <v>3:00 PM – 4:00 PM</v>
      </c>
      <c r="E24" s="10"/>
      <c r="F24" s="10"/>
      <c r="G24" s="10"/>
      <c r="H24" s="10"/>
      <c r="I24" s="10"/>
      <c r="J24" s="10"/>
      <c r="K24" s="10"/>
      <c r="L24" s="10"/>
      <c r="M24" s="7" t="str">
        <f t="shared" si="1"/>
        <v/>
      </c>
    </row>
    <row r="25" spans="1:13" x14ac:dyDescent="0.25">
      <c r="A25" s="9">
        <v>46314</v>
      </c>
      <c r="B25" s="7" t="str">
        <f t="shared" si="0"/>
        <v>Monday</v>
      </c>
      <c r="C25" s="7" t="str">
        <f>Setup!$A$6</f>
        <v>Session 1</v>
      </c>
      <c r="D25" s="7" t="str">
        <f>IF(C25="","",IFERROR(INDEX(Setup!$D$6:$D$9,MATCH(C25,Setup!$A$6:$A$9,0)),""))</f>
        <v>9:30 AM – 10:30 AM</v>
      </c>
      <c r="E25" s="10"/>
      <c r="F25" s="10"/>
      <c r="G25" s="10"/>
      <c r="H25" s="10"/>
      <c r="I25" s="10"/>
      <c r="J25" s="10"/>
      <c r="K25" s="10"/>
      <c r="L25" s="10"/>
      <c r="M25" s="7" t="str">
        <f t="shared" si="1"/>
        <v/>
      </c>
    </row>
    <row r="26" spans="1:13" x14ac:dyDescent="0.25">
      <c r="A26" s="11">
        <f>A25</f>
        <v>46314</v>
      </c>
      <c r="B26" s="7" t="str">
        <f t="shared" si="0"/>
        <v>Monday</v>
      </c>
      <c r="C26" s="7" t="str">
        <f>Setup!$A$7</f>
        <v>Session 2</v>
      </c>
      <c r="D26" s="7" t="str">
        <f>IF(C26="","",IFERROR(INDEX(Setup!$D$6:$D$9,MATCH(C26,Setup!$A$6:$A$9,0)),""))</f>
        <v>11:10 AM – 12:00 PM</v>
      </c>
      <c r="E26" s="10"/>
      <c r="F26" s="10"/>
      <c r="G26" s="10"/>
      <c r="H26" s="10"/>
      <c r="I26" s="10"/>
      <c r="J26" s="10"/>
      <c r="K26" s="10"/>
      <c r="L26" s="10"/>
      <c r="M26" s="7" t="str">
        <f t="shared" si="1"/>
        <v/>
      </c>
    </row>
    <row r="27" spans="1:13" x14ac:dyDescent="0.25">
      <c r="A27" s="11">
        <f>A26</f>
        <v>46314</v>
      </c>
      <c r="B27" s="7" t="str">
        <f t="shared" si="0"/>
        <v>Monday</v>
      </c>
      <c r="C27" s="7" t="str">
        <f>Setup!$A$8</f>
        <v>Session 3</v>
      </c>
      <c r="D27" s="7" t="str">
        <f>IF(C27="","",IFERROR(INDEX(Setup!$D$6:$D$9,MATCH(C27,Setup!$A$6:$A$9,0)),""))</f>
        <v>12:30 PM – 13:30:00 PM</v>
      </c>
      <c r="E27" s="10"/>
      <c r="F27" s="10"/>
      <c r="G27" s="10"/>
      <c r="H27" s="10"/>
      <c r="I27" s="10"/>
      <c r="J27" s="10"/>
      <c r="K27" s="10"/>
      <c r="L27" s="10"/>
      <c r="M27" s="7" t="str">
        <f t="shared" si="1"/>
        <v/>
      </c>
    </row>
    <row r="28" spans="1:13" x14ac:dyDescent="0.25">
      <c r="A28" s="11">
        <f>A27</f>
        <v>46314</v>
      </c>
      <c r="B28" s="7" t="str">
        <f t="shared" si="0"/>
        <v>Monday</v>
      </c>
      <c r="C28" s="7" t="str">
        <f>Setup!$A$9</f>
        <v>Session 4</v>
      </c>
      <c r="D28" s="7" t="str">
        <f>IF(C28="","",IFERROR(INDEX(Setup!$D$6:$D$9,MATCH(C28,Setup!$A$6:$A$9,0)),""))</f>
        <v>3:00 PM – 4:00 PM</v>
      </c>
      <c r="E28" s="10"/>
      <c r="F28" s="10"/>
      <c r="G28" s="10"/>
      <c r="H28" s="10"/>
      <c r="I28" s="10"/>
      <c r="J28" s="10"/>
      <c r="K28" s="10"/>
      <c r="L28" s="10"/>
      <c r="M28" s="7" t="str">
        <f t="shared" si="1"/>
        <v/>
      </c>
    </row>
    <row r="29" spans="1:13" x14ac:dyDescent="0.25">
      <c r="A29" s="9">
        <v>46315</v>
      </c>
      <c r="B29" s="7" t="str">
        <f t="shared" si="0"/>
        <v>Tuesday</v>
      </c>
      <c r="C29" s="7" t="str">
        <f>Setup!$A$6</f>
        <v>Session 1</v>
      </c>
      <c r="D29" s="7" t="str">
        <f>IF(C29="","",IFERROR(INDEX(Setup!$D$6:$D$9,MATCH(C29,Setup!$A$6:$A$9,0)),""))</f>
        <v>9:30 AM – 10:30 AM</v>
      </c>
      <c r="E29" s="10"/>
      <c r="F29" s="10"/>
      <c r="G29" s="10"/>
      <c r="H29" s="10"/>
      <c r="I29" s="10"/>
      <c r="J29" s="10"/>
      <c r="K29" s="10"/>
      <c r="L29" s="10"/>
      <c r="M29" s="7" t="str">
        <f t="shared" si="1"/>
        <v/>
      </c>
    </row>
    <row r="30" spans="1:13" x14ac:dyDescent="0.25">
      <c r="A30" s="11">
        <f>A29</f>
        <v>46315</v>
      </c>
      <c r="B30" s="7" t="str">
        <f t="shared" si="0"/>
        <v>Tuesday</v>
      </c>
      <c r="C30" s="7" t="str">
        <f>Setup!$A$7</f>
        <v>Session 2</v>
      </c>
      <c r="D30" s="7" t="str">
        <f>IF(C30="","",IFERROR(INDEX(Setup!$D$6:$D$9,MATCH(C30,Setup!$A$6:$A$9,0)),""))</f>
        <v>11:10 AM – 12:00 PM</v>
      </c>
      <c r="E30" s="10"/>
      <c r="F30" s="10"/>
      <c r="G30" s="10"/>
      <c r="H30" s="10"/>
      <c r="I30" s="10"/>
      <c r="J30" s="10"/>
      <c r="K30" s="10"/>
      <c r="L30" s="10"/>
      <c r="M30" s="7" t="str">
        <f t="shared" si="1"/>
        <v/>
      </c>
    </row>
    <row r="31" spans="1:13" x14ac:dyDescent="0.25">
      <c r="A31" s="11">
        <f>A30</f>
        <v>46315</v>
      </c>
      <c r="B31" s="7" t="str">
        <f t="shared" si="0"/>
        <v>Tuesday</v>
      </c>
      <c r="C31" s="7" t="str">
        <f>Setup!$A$8</f>
        <v>Session 3</v>
      </c>
      <c r="D31" s="7" t="str">
        <f>IF(C31="","",IFERROR(INDEX(Setup!$D$6:$D$9,MATCH(C31,Setup!$A$6:$A$9,0)),""))</f>
        <v>12:30 PM – 13:30:00 PM</v>
      </c>
      <c r="E31" s="10"/>
      <c r="F31" s="10"/>
      <c r="G31" s="10"/>
      <c r="H31" s="10"/>
      <c r="I31" s="10"/>
      <c r="J31" s="10"/>
      <c r="K31" s="10"/>
      <c r="L31" s="10"/>
      <c r="M31" s="7" t="str">
        <f t="shared" si="1"/>
        <v/>
      </c>
    </row>
    <row r="32" spans="1:13" x14ac:dyDescent="0.25">
      <c r="A32" s="11">
        <f>A31</f>
        <v>46315</v>
      </c>
      <c r="B32" s="7" t="str">
        <f t="shared" si="0"/>
        <v>Tuesday</v>
      </c>
      <c r="C32" s="7" t="str">
        <f>Setup!$A$9</f>
        <v>Session 4</v>
      </c>
      <c r="D32" s="7" t="str">
        <f>IF(C32="","",IFERROR(INDEX(Setup!$D$6:$D$9,MATCH(C32,Setup!$A$6:$A$9,0)),""))</f>
        <v>3:00 PM – 4:00 PM</v>
      </c>
      <c r="E32" s="10"/>
      <c r="F32" s="10"/>
      <c r="G32" s="10"/>
      <c r="H32" s="10"/>
      <c r="I32" s="10"/>
      <c r="J32" s="10"/>
      <c r="K32" s="10"/>
      <c r="L32" s="10"/>
      <c r="M32" s="7" t="str">
        <f t="shared" si="1"/>
        <v/>
      </c>
    </row>
    <row r="33" spans="1:13" x14ac:dyDescent="0.25">
      <c r="A33" s="9">
        <v>46316</v>
      </c>
      <c r="B33" s="7" t="str">
        <f t="shared" si="0"/>
        <v>Wednesday</v>
      </c>
      <c r="C33" s="7" t="str">
        <f>Setup!$A$6</f>
        <v>Session 1</v>
      </c>
      <c r="D33" s="7" t="str">
        <f>IF(C33="","",IFERROR(INDEX(Setup!$D$6:$D$9,MATCH(C33,Setup!$A$6:$A$9,0)),""))</f>
        <v>9:30 AM – 10:30 AM</v>
      </c>
      <c r="E33" s="10"/>
      <c r="F33" s="10"/>
      <c r="G33" s="10"/>
      <c r="H33" s="10"/>
      <c r="I33" s="10"/>
      <c r="J33" s="10"/>
      <c r="K33" s="10"/>
      <c r="L33" s="10"/>
      <c r="M33" s="7" t="str">
        <f t="shared" si="1"/>
        <v/>
      </c>
    </row>
    <row r="34" spans="1:13" x14ac:dyDescent="0.25">
      <c r="A34" s="11">
        <f>A33</f>
        <v>46316</v>
      </c>
      <c r="B34" s="7" t="str">
        <f t="shared" si="0"/>
        <v>Wednesday</v>
      </c>
      <c r="C34" s="7" t="str">
        <f>Setup!$A$7</f>
        <v>Session 2</v>
      </c>
      <c r="D34" s="7" t="str">
        <f>IF(C34="","",IFERROR(INDEX(Setup!$D$6:$D$9,MATCH(C34,Setup!$A$6:$A$9,0)),""))</f>
        <v>11:10 AM – 12:00 PM</v>
      </c>
      <c r="E34" s="10"/>
      <c r="F34" s="10"/>
      <c r="G34" s="10"/>
      <c r="H34" s="10"/>
      <c r="I34" s="10"/>
      <c r="J34" s="10"/>
      <c r="K34" s="10"/>
      <c r="L34" s="10"/>
      <c r="M34" s="7" t="str">
        <f t="shared" si="1"/>
        <v/>
      </c>
    </row>
    <row r="35" spans="1:13" x14ac:dyDescent="0.25">
      <c r="A35" s="11">
        <f>A34</f>
        <v>46316</v>
      </c>
      <c r="B35" s="7" t="str">
        <f t="shared" si="0"/>
        <v>Wednesday</v>
      </c>
      <c r="C35" s="7" t="str">
        <f>Setup!$A$8</f>
        <v>Session 3</v>
      </c>
      <c r="D35" s="7" t="str">
        <f>IF(C35="","",IFERROR(INDEX(Setup!$D$6:$D$9,MATCH(C35,Setup!$A$6:$A$9,0)),""))</f>
        <v>12:30 PM – 13:30:00 PM</v>
      </c>
      <c r="E35" s="10"/>
      <c r="F35" s="10"/>
      <c r="G35" s="10"/>
      <c r="H35" s="10"/>
      <c r="I35" s="10"/>
      <c r="J35" s="10"/>
      <c r="K35" s="10"/>
      <c r="L35" s="10"/>
      <c r="M35" s="7" t="str">
        <f t="shared" si="1"/>
        <v/>
      </c>
    </row>
    <row r="36" spans="1:13" x14ac:dyDescent="0.25">
      <c r="A36" s="11">
        <f>A35</f>
        <v>46316</v>
      </c>
      <c r="B36" s="7" t="str">
        <f t="shared" si="0"/>
        <v>Wednesday</v>
      </c>
      <c r="C36" s="7" t="str">
        <f>Setup!$A$9</f>
        <v>Session 4</v>
      </c>
      <c r="D36" s="7" t="str">
        <f>IF(C36="","",IFERROR(INDEX(Setup!$D$6:$D$9,MATCH(C36,Setup!$A$6:$A$9,0)),""))</f>
        <v>3:00 PM – 4:00 PM</v>
      </c>
      <c r="E36" s="10"/>
      <c r="F36" s="10"/>
      <c r="G36" s="10"/>
      <c r="H36" s="10"/>
      <c r="I36" s="10"/>
      <c r="J36" s="10"/>
      <c r="K36" s="10"/>
      <c r="L36" s="10"/>
      <c r="M36" s="7" t="str">
        <f t="shared" si="1"/>
        <v/>
      </c>
    </row>
    <row r="38" spans="1:13" x14ac:dyDescent="0.25">
      <c r="A38" s="12" t="s">
        <v>44</v>
      </c>
      <c r="G38" s="12" t="s">
        <v>25</v>
      </c>
    </row>
  </sheetData>
  <mergeCells count="5">
    <mergeCell ref="E3:F3"/>
    <mergeCell ref="G3:H3"/>
    <mergeCell ref="I3:J3"/>
    <mergeCell ref="K3:L3"/>
    <mergeCell ref="M3:M4"/>
  </mergeCells>
  <conditionalFormatting sqref="M5:M36">
    <cfRule type="expression" dxfId="2" priority="2">
      <formula>M5="OK"</formula>
    </cfRule>
    <cfRule type="expression" dxfId="1" priority="3">
      <formula>M5="Duplicate!"</formula>
    </cfRule>
    <cfRule type="expression" dxfId="0" priority="4">
      <formula>M5="Incomplete"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Setup!$F$6:$F$45</xm:f>
          </x14:formula1>
          <x14:formula2>
            <xm:f>0</xm:f>
          </x14:formula2>
          <xm:sqref>E5:L36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zoomScaleNormal="100" workbookViewId="0">
      <selection activeCell="A6" sqref="A6"/>
    </sheetView>
  </sheetViews>
  <sheetFormatPr defaultColWidth="8.7109375" defaultRowHeight="15" x14ac:dyDescent="0.25"/>
  <cols>
    <col min="1" max="1" width="28" customWidth="1"/>
    <col min="2" max="2" width="14" customWidth="1"/>
  </cols>
  <sheetData>
    <row r="1" spans="1:2" ht="18" x14ac:dyDescent="0.25">
      <c r="A1" s="1" t="s">
        <v>26</v>
      </c>
    </row>
    <row r="3" spans="1:2" x14ac:dyDescent="0.25">
      <c r="A3" s="5" t="s">
        <v>27</v>
      </c>
      <c r="B3" s="5" t="s">
        <v>28</v>
      </c>
    </row>
    <row r="4" spans="1:2" x14ac:dyDescent="0.25">
      <c r="A4" s="13" t="str">
        <f>IF(Setup!F6="","",Setup!F6)</f>
        <v>Dr. Salah Uddin</v>
      </c>
      <c r="B4" s="7">
        <f>IF(A4="","",COUNTIF(Roster!$E$5:$L$36,A4))</f>
        <v>2</v>
      </c>
    </row>
    <row r="5" spans="1:2" x14ac:dyDescent="0.25">
      <c r="A5" s="13" t="str">
        <f>IF(Setup!F7="","",Setup!F7)</f>
        <v>Dr. Zulfiqar Ali</v>
      </c>
      <c r="B5" s="7">
        <f>IF(A5="","",COUNTIF(Roster!$E$5:$L$36,A5))</f>
        <v>2</v>
      </c>
    </row>
    <row r="6" spans="1:2" x14ac:dyDescent="0.25">
      <c r="A6" s="13" t="str">
        <f>IF(Setup!F8="","",Setup!F8)</f>
        <v>Dr. Gohar Nadeem</v>
      </c>
      <c r="B6" s="7">
        <f>IF(A6="","",COUNTIF(Roster!$E$5:$L$36,A6))</f>
        <v>3</v>
      </c>
    </row>
    <row r="7" spans="1:2" x14ac:dyDescent="0.25">
      <c r="A7" s="13" t="str">
        <f>IF(Setup!F9="","",Setup!F9)</f>
        <v>Dr. Muhammad Noor</v>
      </c>
      <c r="B7" s="7">
        <f>IF(A7="","",COUNTIF(Roster!$E$5:$L$36,A7))</f>
        <v>2</v>
      </c>
    </row>
    <row r="8" spans="1:2" x14ac:dyDescent="0.25">
      <c r="A8" s="13" t="str">
        <f>IF(Setup!F10="","",Setup!F10)</f>
        <v>Sharfuddin</v>
      </c>
      <c r="B8" s="7">
        <f>IF(A8="","",COUNTIF(Roster!$E$5:$L$36,A8))</f>
        <v>1</v>
      </c>
    </row>
    <row r="9" spans="1:2" x14ac:dyDescent="0.25">
      <c r="A9" s="13" t="str">
        <f>IF(Setup!F11="","",Setup!F11)</f>
        <v>Zahoor Ahmed</v>
      </c>
      <c r="B9" s="7">
        <f>IF(A9="","",COUNTIF(Roster!$E$5:$L$36,A9))</f>
        <v>3</v>
      </c>
    </row>
    <row r="10" spans="1:2" x14ac:dyDescent="0.25">
      <c r="A10" s="13" t="str">
        <f>IF(Setup!F12="","",Setup!F12)</f>
        <v>Shakeel Ahmed</v>
      </c>
      <c r="B10" s="7">
        <f>IF(A10="","",COUNTIF(Roster!$E$5:$L$36,A10))</f>
        <v>1</v>
      </c>
    </row>
    <row r="11" spans="1:2" x14ac:dyDescent="0.25">
      <c r="A11" s="13" t="str">
        <f>IF(Setup!F13="","",Setup!F13)</f>
        <v>Abdullah Shah</v>
      </c>
      <c r="B11" s="7">
        <f>IF(A11="","",COUNTIF(Roster!$E$5:$L$36,A11))</f>
        <v>1</v>
      </c>
    </row>
    <row r="12" spans="1:2" x14ac:dyDescent="0.25">
      <c r="A12" s="13" t="str">
        <f>IF(Setup!F14="","",Setup!F14)</f>
        <v>Mustansar Hussain</v>
      </c>
      <c r="B12" s="7">
        <f>IF(A12="","",COUNTIF(Roster!$E$5:$L$36,A12))</f>
        <v>3</v>
      </c>
    </row>
    <row r="13" spans="1:2" x14ac:dyDescent="0.25">
      <c r="A13" s="13" t="str">
        <f>IF(Setup!F15="","",Setup!F15)</f>
        <v>Syummaya</v>
      </c>
      <c r="B13" s="7">
        <f>IF(A13="","",COUNTIF(Roster!$E$5:$L$36,A13))</f>
        <v>3</v>
      </c>
    </row>
    <row r="14" spans="1:2" x14ac:dyDescent="0.25">
      <c r="A14" s="13" t="str">
        <f>IF(Setup!F16="","",Setup!F16)</f>
        <v>Syed Hasnain Shah</v>
      </c>
      <c r="B14" s="7">
        <f>IF(A14="","",COUNTIF(Roster!$E$5:$L$36,A14))</f>
        <v>1</v>
      </c>
    </row>
    <row r="15" spans="1:2" x14ac:dyDescent="0.25">
      <c r="A15" s="13" t="str">
        <f>IF(Setup!F17="","",Setup!F17)</f>
        <v>Javed Ahmed</v>
      </c>
      <c r="B15" s="7">
        <f>IF(A15="","",COUNTIF(Roster!$E$5:$L$36,A15))</f>
        <v>3</v>
      </c>
    </row>
    <row r="16" spans="1:2" x14ac:dyDescent="0.25">
      <c r="A16" s="13" t="str">
        <f>IF(Setup!F18="","",Setup!F18)</f>
        <v>Mujeeb Ur Rehman</v>
      </c>
      <c r="B16" s="7">
        <f>IF(A16="","",COUNTIF(Roster!$E$5:$L$36,A16))</f>
        <v>1</v>
      </c>
    </row>
    <row r="17" spans="1:2" x14ac:dyDescent="0.25">
      <c r="A17" s="13" t="str">
        <f>IF(Setup!F19="","",Setup!F19)</f>
        <v>Ghazala Haider</v>
      </c>
      <c r="B17" s="7">
        <f>IF(A17="","",COUNTIF(Roster!$E$5:$L$36,A17))</f>
        <v>1</v>
      </c>
    </row>
    <row r="18" spans="1:2" x14ac:dyDescent="0.25">
      <c r="A18" s="13" t="str">
        <f>IF(Setup!F20="","",Setup!F20)</f>
        <v/>
      </c>
      <c r="B18" s="7" t="str">
        <f>IF(A18="","",COUNTIF(Roster!$E$5:$L$36,A18))</f>
        <v/>
      </c>
    </row>
    <row r="19" spans="1:2" x14ac:dyDescent="0.25">
      <c r="A19" s="13" t="str">
        <f>IF(Setup!F21="","",Setup!F21)</f>
        <v/>
      </c>
      <c r="B19" s="7" t="str">
        <f>IF(A19="","",COUNTIF(Roster!$E$5:$L$36,A19))</f>
        <v/>
      </c>
    </row>
    <row r="20" spans="1:2" x14ac:dyDescent="0.25">
      <c r="A20" s="13" t="str">
        <f>IF(Setup!F22="","",Setup!F22)</f>
        <v/>
      </c>
      <c r="B20" s="7" t="str">
        <f>IF(A20="","",COUNTIF(Roster!$E$5:$L$36,A20))</f>
        <v/>
      </c>
    </row>
    <row r="21" spans="1:2" x14ac:dyDescent="0.25">
      <c r="A21" s="13" t="str">
        <f>IF(Setup!F23="","",Setup!F23)</f>
        <v/>
      </c>
      <c r="B21" s="7" t="str">
        <f>IF(A21="","",COUNTIF(Roster!$E$5:$L$36,A21))</f>
        <v/>
      </c>
    </row>
    <row r="22" spans="1:2" x14ac:dyDescent="0.25">
      <c r="A22" s="13" t="str">
        <f>IF(Setup!F24="","",Setup!F24)</f>
        <v/>
      </c>
      <c r="B22" s="7" t="str">
        <f>IF(A22="","",COUNTIF(Roster!$E$5:$L$36,A22))</f>
        <v/>
      </c>
    </row>
    <row r="23" spans="1:2" x14ac:dyDescent="0.25">
      <c r="A23" s="13" t="str">
        <f>IF(Setup!F25="","",Setup!F25)</f>
        <v/>
      </c>
      <c r="B23" s="7" t="str">
        <f>IF(A23="","",COUNTIF(Roster!$E$5:$L$36,A23))</f>
        <v/>
      </c>
    </row>
    <row r="24" spans="1:2" x14ac:dyDescent="0.25">
      <c r="A24" s="13" t="str">
        <f>IF(Setup!F26="","",Setup!F26)</f>
        <v/>
      </c>
      <c r="B24" s="7" t="str">
        <f>IF(A24="","",COUNTIF(Roster!$E$5:$L$36,A24))</f>
        <v/>
      </c>
    </row>
    <row r="25" spans="1:2" x14ac:dyDescent="0.25">
      <c r="A25" s="13" t="str">
        <f>IF(Setup!F27="","",Setup!F27)</f>
        <v/>
      </c>
      <c r="B25" s="7" t="str">
        <f>IF(A25="","",COUNTIF(Roster!$E$5:$L$36,A25))</f>
        <v/>
      </c>
    </row>
    <row r="26" spans="1:2" x14ac:dyDescent="0.25">
      <c r="A26" s="13" t="str">
        <f>IF(Setup!F28="","",Setup!F28)</f>
        <v/>
      </c>
      <c r="B26" s="7" t="str">
        <f>IF(A26="","",COUNTIF(Roster!$E$5:$L$36,A26))</f>
        <v/>
      </c>
    </row>
    <row r="27" spans="1:2" x14ac:dyDescent="0.25">
      <c r="A27" s="13" t="str">
        <f>IF(Setup!F29="","",Setup!F29)</f>
        <v/>
      </c>
      <c r="B27" s="7" t="str">
        <f>IF(A27="","",COUNTIF(Roster!$E$5:$L$36,A27))</f>
        <v/>
      </c>
    </row>
    <row r="28" spans="1:2" x14ac:dyDescent="0.25">
      <c r="A28" s="13" t="str">
        <f>IF(Setup!F30="","",Setup!F30)</f>
        <v/>
      </c>
      <c r="B28" s="7" t="str">
        <f>IF(A28="","",COUNTIF(Roster!$E$5:$L$36,A28))</f>
        <v/>
      </c>
    </row>
    <row r="29" spans="1:2" x14ac:dyDescent="0.25">
      <c r="A29" s="13" t="str">
        <f>IF(Setup!F31="","",Setup!F31)</f>
        <v/>
      </c>
      <c r="B29" s="7" t="str">
        <f>IF(A29="","",COUNTIF(Roster!$E$5:$L$36,A29))</f>
        <v/>
      </c>
    </row>
    <row r="30" spans="1:2" x14ac:dyDescent="0.25">
      <c r="A30" s="13" t="str">
        <f>IF(Setup!F32="","",Setup!F32)</f>
        <v/>
      </c>
      <c r="B30" s="7" t="str">
        <f>IF(A30="","",COUNTIF(Roster!$E$5:$L$36,A30))</f>
        <v/>
      </c>
    </row>
    <row r="31" spans="1:2" x14ac:dyDescent="0.25">
      <c r="A31" s="13" t="str">
        <f>IF(Setup!F33="","",Setup!F33)</f>
        <v/>
      </c>
      <c r="B31" s="7" t="str">
        <f>IF(A31="","",COUNTIF(Roster!$E$5:$L$36,A31))</f>
        <v/>
      </c>
    </row>
    <row r="32" spans="1:2" x14ac:dyDescent="0.25">
      <c r="A32" s="13" t="str">
        <f>IF(Setup!F34="","",Setup!F34)</f>
        <v/>
      </c>
      <c r="B32" s="7" t="str">
        <f>IF(A32="","",COUNTIF(Roster!$E$5:$L$36,A32))</f>
        <v/>
      </c>
    </row>
    <row r="33" spans="1:2" x14ac:dyDescent="0.25">
      <c r="A33" s="13" t="str">
        <f>IF(Setup!F35="","",Setup!F35)</f>
        <v/>
      </c>
      <c r="B33" s="7" t="str">
        <f>IF(A33="","",COUNTIF(Roster!$E$5:$L$36,A33))</f>
        <v/>
      </c>
    </row>
    <row r="34" spans="1:2" x14ac:dyDescent="0.25">
      <c r="A34" s="13" t="str">
        <f>IF(Setup!F36="","",Setup!F36)</f>
        <v/>
      </c>
      <c r="B34" s="7" t="str">
        <f>IF(A34="","",COUNTIF(Roster!$E$5:$L$36,A34))</f>
        <v/>
      </c>
    </row>
    <row r="35" spans="1:2" x14ac:dyDescent="0.25">
      <c r="A35" s="13" t="str">
        <f>IF(Setup!F37="","",Setup!F37)</f>
        <v/>
      </c>
      <c r="B35" s="7" t="str">
        <f>IF(A35="","",COUNTIF(Roster!$E$5:$L$36,A35))</f>
        <v/>
      </c>
    </row>
    <row r="36" spans="1:2" x14ac:dyDescent="0.25">
      <c r="A36" s="13" t="str">
        <f>IF(Setup!F38="","",Setup!F38)</f>
        <v/>
      </c>
      <c r="B36" s="7" t="str">
        <f>IF(A36="","",COUNTIF(Roster!$E$5:$L$36,A36))</f>
        <v/>
      </c>
    </row>
    <row r="37" spans="1:2" x14ac:dyDescent="0.25">
      <c r="A37" s="13" t="str">
        <f>IF(Setup!F39="","",Setup!F39)</f>
        <v/>
      </c>
      <c r="B37" s="7" t="str">
        <f>IF(A37="","",COUNTIF(Roster!$E$5:$L$36,A37))</f>
        <v/>
      </c>
    </row>
    <row r="38" spans="1:2" x14ac:dyDescent="0.25">
      <c r="A38" s="13" t="str">
        <f>IF(Setup!F40="","",Setup!F40)</f>
        <v/>
      </c>
      <c r="B38" s="7" t="str">
        <f>IF(A38="","",COUNTIF(Roster!$E$5:$L$36,A38))</f>
        <v/>
      </c>
    </row>
    <row r="39" spans="1:2" x14ac:dyDescent="0.25">
      <c r="A39" s="13" t="str">
        <f>IF(Setup!F41="","",Setup!F41)</f>
        <v/>
      </c>
      <c r="B39" s="7" t="str">
        <f>IF(A39="","",COUNTIF(Roster!$E$5:$L$36,A39))</f>
        <v/>
      </c>
    </row>
    <row r="40" spans="1:2" x14ac:dyDescent="0.25">
      <c r="A40" s="13" t="str">
        <f>IF(Setup!F42="","",Setup!F42)</f>
        <v/>
      </c>
      <c r="B40" s="7" t="str">
        <f>IF(A40="","",COUNTIF(Roster!$E$5:$L$36,A40))</f>
        <v/>
      </c>
    </row>
    <row r="41" spans="1:2" x14ac:dyDescent="0.25">
      <c r="A41" s="13" t="str">
        <f>IF(Setup!F43="","",Setup!F43)</f>
        <v/>
      </c>
      <c r="B41" s="7" t="str">
        <f>IF(A41="","",COUNTIF(Roster!$E$5:$L$36,A41))</f>
        <v/>
      </c>
    </row>
    <row r="42" spans="1:2" x14ac:dyDescent="0.25">
      <c r="A42" s="13" t="str">
        <f>IF(Setup!F44="","",Setup!F44)</f>
        <v/>
      </c>
      <c r="B42" s="7" t="str">
        <f>IF(A42="","",COUNTIF(Roster!$E$5:$L$36,A42))</f>
        <v/>
      </c>
    </row>
    <row r="43" spans="1:2" x14ac:dyDescent="0.25">
      <c r="A43" s="13" t="str">
        <f>IF(Setup!F45="","",Setup!F45)</f>
        <v/>
      </c>
      <c r="B43" s="7" t="str">
        <f>IF(A43="","",COUNTIF(Roster!$E$5:$L$36,A43))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Setup</vt:lpstr>
      <vt:lpstr>Roster</vt:lpstr>
      <vt:lpstr>Duty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S.A COMPUTER</cp:lastModifiedBy>
  <cp:revision>0</cp:revision>
  <dcterms:created xsi:type="dcterms:W3CDTF">2026-10-09T07:42:19Z</dcterms:created>
  <dcterms:modified xsi:type="dcterms:W3CDTF">2026-10-13T14:07:53Z</dcterms:modified>
  <dc:language>en-US</dc:language>
</cp:coreProperties>
</file>