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ean Office 2023\OBE\CQI\"/>
    </mc:Choice>
  </mc:AlternateContent>
  <xr:revisionPtr revIDLastSave="0" documentId="13_ncr:1_{9127B33C-5D11-4811-A7FA-D7A8DCE580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3" l="1"/>
  <c r="I10" i="3"/>
  <c r="I11" i="3"/>
  <c r="I12" i="3"/>
  <c r="I13" i="3"/>
  <c r="I8" i="3"/>
  <c r="E8" i="3"/>
  <c r="E10" i="3"/>
  <c r="E11" i="3"/>
  <c r="E12" i="3"/>
  <c r="E13" i="3"/>
  <c r="E9" i="3"/>
  <c r="D71" i="2"/>
  <c r="E71" i="2"/>
  <c r="F71" i="2"/>
  <c r="G71" i="2"/>
  <c r="H71" i="2"/>
  <c r="I71" i="2"/>
  <c r="J71" i="2"/>
  <c r="K71" i="2"/>
  <c r="L71" i="2"/>
  <c r="M71" i="2"/>
  <c r="N71" i="2"/>
  <c r="C71" i="2"/>
  <c r="D64" i="2"/>
  <c r="E64" i="2"/>
  <c r="F64" i="2"/>
  <c r="G64" i="2"/>
  <c r="H64" i="2"/>
  <c r="I64" i="2"/>
  <c r="J64" i="2"/>
  <c r="K64" i="2"/>
  <c r="L64" i="2"/>
  <c r="M64" i="2"/>
  <c r="M72" i="2" s="1"/>
  <c r="N64" i="2"/>
  <c r="C64" i="2"/>
  <c r="D56" i="2"/>
  <c r="E56" i="2"/>
  <c r="F56" i="2"/>
  <c r="G56" i="2"/>
  <c r="H56" i="2"/>
  <c r="I56" i="2"/>
  <c r="J56" i="2"/>
  <c r="K56" i="2"/>
  <c r="L56" i="2"/>
  <c r="M56" i="2"/>
  <c r="N56" i="2"/>
  <c r="C56" i="2"/>
  <c r="D48" i="2"/>
  <c r="E48" i="2"/>
  <c r="F48" i="2"/>
  <c r="G48" i="2"/>
  <c r="H48" i="2"/>
  <c r="I48" i="2"/>
  <c r="J48" i="2"/>
  <c r="K48" i="2"/>
  <c r="L48" i="2"/>
  <c r="M48" i="2"/>
  <c r="N48" i="2"/>
  <c r="C48" i="2"/>
  <c r="D40" i="2"/>
  <c r="E40" i="2"/>
  <c r="F40" i="2"/>
  <c r="G40" i="2"/>
  <c r="H40" i="2"/>
  <c r="I40" i="2"/>
  <c r="J40" i="2"/>
  <c r="K40" i="2"/>
  <c r="L40" i="2"/>
  <c r="M40" i="2"/>
  <c r="N40" i="2"/>
  <c r="C40" i="2"/>
  <c r="D32" i="2"/>
  <c r="E32" i="2"/>
  <c r="F32" i="2"/>
  <c r="G32" i="2"/>
  <c r="H32" i="2"/>
  <c r="I32" i="2"/>
  <c r="J32" i="2"/>
  <c r="K32" i="2"/>
  <c r="L32" i="2"/>
  <c r="M32" i="2"/>
  <c r="N32" i="2"/>
  <c r="C32" i="2"/>
  <c r="D24" i="2"/>
  <c r="E24" i="2"/>
  <c r="F24" i="2"/>
  <c r="G24" i="2"/>
  <c r="H24" i="2"/>
  <c r="I24" i="2"/>
  <c r="J24" i="2"/>
  <c r="K24" i="2"/>
  <c r="L24" i="2"/>
  <c r="M24" i="2"/>
  <c r="N24" i="2"/>
  <c r="C24" i="2"/>
  <c r="C15" i="2" s="1"/>
  <c r="D15" i="2"/>
  <c r="E15" i="2"/>
  <c r="F15" i="2"/>
  <c r="G15" i="2"/>
  <c r="H15" i="2"/>
  <c r="I15" i="2"/>
  <c r="J15" i="2"/>
  <c r="K15" i="2"/>
  <c r="L15" i="2"/>
  <c r="M15" i="2"/>
  <c r="N15" i="2"/>
  <c r="G72" i="2" l="1"/>
  <c r="J72" i="2"/>
  <c r="I72" i="2"/>
  <c r="H72" i="2"/>
  <c r="N72" i="2"/>
  <c r="E72" i="2"/>
  <c r="F72" i="2"/>
  <c r="D72" i="2"/>
  <c r="C72" i="2"/>
  <c r="K72" i="2"/>
  <c r="L72" i="2"/>
</calcChain>
</file>

<file path=xl/sharedStrings.xml><?xml version="1.0" encoding="utf-8"?>
<sst xmlns="http://schemas.openxmlformats.org/spreadsheetml/2006/main" count="189" uniqueCount="62">
  <si>
    <t>Program Learning Outcomes (PLOs)</t>
  </si>
  <si>
    <t>PLO-1</t>
  </si>
  <si>
    <t>PLO-2</t>
  </si>
  <si>
    <t>PLO-3</t>
  </si>
  <si>
    <t>PLO-4</t>
  </si>
  <si>
    <t>PLO-5</t>
  </si>
  <si>
    <t>PLO-6</t>
  </si>
  <si>
    <t>PLO-7</t>
  </si>
  <si>
    <t>PLO-8</t>
  </si>
  <si>
    <t>PLO-9</t>
  </si>
  <si>
    <t>PLO-10</t>
  </si>
  <si>
    <t>PLO-11</t>
  </si>
  <si>
    <t>PLO-12</t>
  </si>
  <si>
    <t>C1</t>
  </si>
  <si>
    <t>P1</t>
  </si>
  <si>
    <t>A3</t>
  </si>
  <si>
    <t>Linear Control System</t>
  </si>
  <si>
    <t>Applied Physics</t>
  </si>
  <si>
    <t>Fahm-e-Quran-I</t>
  </si>
  <si>
    <t>Lniear Algebra</t>
  </si>
  <si>
    <t>Computer programming</t>
  </si>
  <si>
    <t>Differential Equation</t>
  </si>
  <si>
    <t>Idealogy &amp; Constitution of Pak</t>
  </si>
  <si>
    <t>Electronic Devices and Circuits</t>
  </si>
  <si>
    <t>Electrical Workshop Practice</t>
  </si>
  <si>
    <t>Fahm-e-Quran-II</t>
  </si>
  <si>
    <t>Functional English</t>
  </si>
  <si>
    <t xml:space="preserve">Calculous &amp; Analytical Geometry </t>
  </si>
  <si>
    <t xml:space="preserve">Islamic Studies &amp; Ethics </t>
  </si>
  <si>
    <t>First Semester</t>
  </si>
  <si>
    <t>Second Semester</t>
  </si>
  <si>
    <t>Third Semester</t>
  </si>
  <si>
    <t>Fourth semester</t>
  </si>
  <si>
    <t>Fifth Semester</t>
  </si>
  <si>
    <t>Sixth Semester</t>
  </si>
  <si>
    <t>Seventh Semester</t>
  </si>
  <si>
    <t>Eightth Semester</t>
  </si>
  <si>
    <t>Balochistan University of Engineering and Technology, Khuzdar</t>
  </si>
  <si>
    <t>Electrical Engineering Courses</t>
  </si>
  <si>
    <t>Curriculum mapping to CLOs</t>
  </si>
  <si>
    <t>Department of Electrical Engineering</t>
  </si>
  <si>
    <t>Attainment</t>
  </si>
  <si>
    <t>Skills (10 - 20%)</t>
  </si>
  <si>
    <t>Knowledge (60 - 70%)</t>
  </si>
  <si>
    <t>Attitude (10 - 20%)</t>
  </si>
  <si>
    <t>Mapping of Course learning outcomes (CLOs) to Program learning outcomes (PLOs)</t>
  </si>
  <si>
    <t>Course title</t>
  </si>
  <si>
    <t>Sr.  No</t>
  </si>
  <si>
    <t>No of course attaining PLO</t>
  </si>
  <si>
    <t>Fourth Semester</t>
  </si>
  <si>
    <t>Eighth Semester</t>
  </si>
  <si>
    <t>ü</t>
  </si>
  <si>
    <t>Total attaintment</t>
  </si>
  <si>
    <t>Cohort Level CQI of Course learning outcomes</t>
  </si>
  <si>
    <t>Spring 2026</t>
  </si>
  <si>
    <t>No of students who appeared</t>
  </si>
  <si>
    <t>No of students who passed</t>
  </si>
  <si>
    <t>Fall 2026</t>
  </si>
  <si>
    <t>CQI Required</t>
  </si>
  <si>
    <t>Detail of CAR taken</t>
  </si>
  <si>
    <t>Remarks (if any)</t>
  </si>
  <si>
    <t>An interaction between course teacher and DOBEC was held on 22-10-2026. Details can be seen in dossier.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</si>
</sst>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Wingdings"/>
      <charset val="2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11" xfId="0" applyFont="1" applyBorder="1"/>
    <xf numFmtId="0" fontId="0" fillId="0" borderId="11" xfId="0" applyBorder="1"/>
    <xf numFmtId="0" fontId="0" fillId="0" borderId="9" xfId="0" applyBorder="1"/>
    <xf numFmtId="0" fontId="0" fillId="0" borderId="10" xfId="0" applyBorder="1"/>
    <xf numFmtId="0" fontId="7" fillId="0" borderId="0" xfId="0" applyFont="1"/>
    <xf numFmtId="0" fontId="4" fillId="0" borderId="0" xfId="0" applyFont="1"/>
    <xf numFmtId="0" fontId="2" fillId="4" borderId="1" xfId="0" applyFont="1" applyFill="1" applyBorder="1"/>
    <xf numFmtId="0" fontId="0" fillId="4" borderId="1" xfId="0" applyFill="1" applyBorder="1"/>
    <xf numFmtId="0" fontId="2" fillId="0" borderId="1" xfId="0" applyFont="1" applyBorder="1" applyAlignment="1">
      <alignment horizontal="center" vertical="center"/>
    </xf>
    <xf numFmtId="0" fontId="8" fillId="0" borderId="0" xfId="0" applyFont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7" fillId="6" borderId="1" xfId="0" applyFont="1" applyFill="1" applyBorder="1"/>
    <xf numFmtId="0" fontId="4" fillId="6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textRotation="90"/>
    </xf>
    <xf numFmtId="0" fontId="6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9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8684-AE29-4D96-ACC4-6925D4BFFA26}">
  <dimension ref="A1:K69"/>
  <sheetViews>
    <sheetView tabSelected="1" zoomScaleNormal="100" workbookViewId="0">
      <selection activeCell="F11" sqref="F11"/>
    </sheetView>
  </sheetViews>
  <sheetFormatPr defaultRowHeight="14.4" x14ac:dyDescent="0.3"/>
  <cols>
    <col min="1" max="1" width="7" customWidth="1"/>
    <col min="2" max="2" width="31.88671875" bestFit="1" customWidth="1"/>
    <col min="3" max="3" width="13.44140625" customWidth="1"/>
    <col min="4" max="4" width="14.5546875" customWidth="1"/>
    <col min="5" max="5" width="10.21875" customWidth="1"/>
    <col min="6" max="6" width="47.88671875" customWidth="1"/>
    <col min="7" max="7" width="13.5546875" customWidth="1"/>
    <col min="8" max="8" width="15.21875" customWidth="1"/>
    <col min="9" max="9" width="9.109375" bestFit="1" customWidth="1"/>
    <col min="10" max="10" width="10.5546875" bestFit="1" customWidth="1"/>
    <col min="11" max="11" width="17.44140625" customWidth="1"/>
  </cols>
  <sheetData>
    <row r="1" spans="1:11" ht="24.6" x14ac:dyDescent="0.4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3" spans="1:11" ht="20.399999999999999" x14ac:dyDescent="0.35">
      <c r="A3" s="37" t="s">
        <v>40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5" spans="1:11" ht="17.399999999999999" x14ac:dyDescent="0.3">
      <c r="A5" s="30" t="s">
        <v>53</v>
      </c>
      <c r="B5" s="30"/>
      <c r="C5" s="30"/>
      <c r="D5" s="30"/>
      <c r="E5" s="30"/>
    </row>
    <row r="6" spans="1:11" ht="18" x14ac:dyDescent="0.3">
      <c r="A6" s="24"/>
      <c r="B6" s="24"/>
      <c r="C6" s="31" t="s">
        <v>54</v>
      </c>
      <c r="D6" s="32"/>
      <c r="E6" s="32"/>
      <c r="F6" s="33"/>
      <c r="G6" s="31" t="s">
        <v>57</v>
      </c>
      <c r="H6" s="32"/>
      <c r="I6" s="32"/>
      <c r="J6" s="33"/>
      <c r="K6" s="22"/>
    </row>
    <row r="7" spans="1:11" ht="34.799999999999997" customHeight="1" x14ac:dyDescent="0.3">
      <c r="A7" s="24"/>
      <c r="B7" s="24"/>
      <c r="C7" s="25" t="s">
        <v>55</v>
      </c>
      <c r="D7" s="25" t="s">
        <v>56</v>
      </c>
      <c r="E7" s="26" t="s">
        <v>58</v>
      </c>
      <c r="F7" s="26" t="s">
        <v>59</v>
      </c>
      <c r="G7" s="25" t="s">
        <v>55</v>
      </c>
      <c r="H7" s="25" t="s">
        <v>56</v>
      </c>
      <c r="I7" s="26" t="s">
        <v>58</v>
      </c>
      <c r="J7" s="26" t="s">
        <v>59</v>
      </c>
      <c r="K7" s="27" t="s">
        <v>60</v>
      </c>
    </row>
    <row r="8" spans="1:11" ht="15.6" x14ac:dyDescent="0.3">
      <c r="A8" s="35" t="s">
        <v>29</v>
      </c>
      <c r="B8" s="23" t="s">
        <v>16</v>
      </c>
      <c r="C8" s="23">
        <v>40</v>
      </c>
      <c r="D8" s="23">
        <v>30</v>
      </c>
      <c r="E8" s="2" t="str">
        <f>IF(AND(D8/C8*100&gt;50, D8/C8&lt;50), "No", "Yes")</f>
        <v>No</v>
      </c>
      <c r="F8" s="2"/>
      <c r="G8" s="2">
        <v>50</v>
      </c>
      <c r="H8" s="2">
        <v>20</v>
      </c>
      <c r="I8" s="2" t="str">
        <f t="shared" ref="I8:I13" si="0">IF(AND(H8/G8*100&gt;50, H8/G8&lt;50), "No", "Yes")</f>
        <v>Yes</v>
      </c>
      <c r="J8" s="23"/>
      <c r="K8" s="23"/>
    </row>
    <row r="9" spans="1:11" ht="27" x14ac:dyDescent="0.3">
      <c r="A9" s="28"/>
      <c r="B9" s="2" t="s">
        <v>17</v>
      </c>
      <c r="C9" s="2">
        <v>40</v>
      </c>
      <c r="D9" s="2">
        <v>10</v>
      </c>
      <c r="E9" s="2" t="str">
        <f>IF(AND(D9/C9*100&gt;50, D9/C9&lt;50), "No", "Yes")</f>
        <v>Yes</v>
      </c>
      <c r="F9" s="49" t="s">
        <v>61</v>
      </c>
      <c r="G9" s="2">
        <v>60</v>
      </c>
      <c r="H9" s="2">
        <v>40</v>
      </c>
      <c r="I9" s="2" t="str">
        <f t="shared" si="0"/>
        <v>No</v>
      </c>
      <c r="J9" s="2"/>
      <c r="K9" s="2"/>
    </row>
    <row r="10" spans="1:11" ht="15.6" x14ac:dyDescent="0.3">
      <c r="A10" s="28"/>
      <c r="B10" s="2" t="s">
        <v>18</v>
      </c>
      <c r="C10" s="2">
        <v>60</v>
      </c>
      <c r="D10" s="2">
        <v>20</v>
      </c>
      <c r="E10" s="2" t="str">
        <f t="shared" ref="E10:E13" si="1">IF(AND(D10/C10*100&gt;50, D10/C10&lt;50), "No", "Yes")</f>
        <v>Yes</v>
      </c>
      <c r="F10" s="2"/>
      <c r="G10" s="2">
        <v>30</v>
      </c>
      <c r="H10" s="2">
        <v>28</v>
      </c>
      <c r="I10" s="2" t="str">
        <f t="shared" si="0"/>
        <v>No</v>
      </c>
      <c r="J10" s="2"/>
      <c r="K10" s="2"/>
    </row>
    <row r="11" spans="1:11" ht="15.6" x14ac:dyDescent="0.3">
      <c r="A11" s="28"/>
      <c r="B11" s="2" t="s">
        <v>26</v>
      </c>
      <c r="C11" s="2">
        <v>52</v>
      </c>
      <c r="D11" s="2">
        <v>12</v>
      </c>
      <c r="E11" s="2" t="str">
        <f t="shared" si="1"/>
        <v>Yes</v>
      </c>
      <c r="F11" s="2"/>
      <c r="G11" s="2">
        <v>60</v>
      </c>
      <c r="H11" s="2">
        <v>15</v>
      </c>
      <c r="I11" s="2" t="str">
        <f t="shared" si="0"/>
        <v>Yes</v>
      </c>
      <c r="J11" s="2"/>
      <c r="K11" s="2"/>
    </row>
    <row r="12" spans="1:11" ht="15.6" x14ac:dyDescent="0.3">
      <c r="A12" s="28"/>
      <c r="B12" s="2" t="s">
        <v>27</v>
      </c>
      <c r="C12" s="2">
        <v>36</v>
      </c>
      <c r="D12" s="2">
        <v>10</v>
      </c>
      <c r="E12" s="2" t="str">
        <f t="shared" si="1"/>
        <v>Yes</v>
      </c>
      <c r="F12" s="2"/>
      <c r="G12" s="2">
        <v>45</v>
      </c>
      <c r="H12" s="2">
        <v>12</v>
      </c>
      <c r="I12" s="2" t="str">
        <f t="shared" si="0"/>
        <v>Yes</v>
      </c>
      <c r="J12" s="2"/>
      <c r="K12" s="2"/>
    </row>
    <row r="13" spans="1:11" ht="15.6" x14ac:dyDescent="0.3">
      <c r="A13" s="28"/>
      <c r="B13" s="2" t="s">
        <v>28</v>
      </c>
      <c r="C13" s="2">
        <v>72</v>
      </c>
      <c r="D13" s="2">
        <v>60</v>
      </c>
      <c r="E13" s="2" t="str">
        <f t="shared" si="1"/>
        <v>No</v>
      </c>
      <c r="F13" s="2"/>
      <c r="G13" s="2">
        <v>52</v>
      </c>
      <c r="H13" s="2">
        <v>40</v>
      </c>
      <c r="I13" s="2" t="str">
        <f t="shared" si="0"/>
        <v>No</v>
      </c>
      <c r="J13" s="2"/>
      <c r="K13" s="2"/>
    </row>
    <row r="14" spans="1:11" ht="16.2" thickBot="1" x14ac:dyDescent="0.35">
      <c r="A14" s="28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6" customHeight="1" x14ac:dyDescent="0.3">
      <c r="A15" s="34" t="s">
        <v>30</v>
      </c>
      <c r="B15" s="2" t="s">
        <v>19</v>
      </c>
      <c r="C15" s="2"/>
      <c r="D15" s="2"/>
      <c r="E15" s="2"/>
      <c r="F15" s="2"/>
      <c r="G15" s="2"/>
      <c r="H15" s="2"/>
      <c r="I15" s="2"/>
      <c r="J15" s="2"/>
      <c r="K15" s="2"/>
    </row>
    <row r="16" spans="1:11" ht="15.6" x14ac:dyDescent="0.3">
      <c r="A16" s="28"/>
      <c r="B16" s="2" t="s">
        <v>20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ht="15.6" x14ac:dyDescent="0.3">
      <c r="A17" s="28"/>
      <c r="B17" s="2" t="s">
        <v>21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ht="15.6" x14ac:dyDescent="0.3">
      <c r="A18" s="28"/>
      <c r="B18" s="2" t="s">
        <v>22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ht="15.6" x14ac:dyDescent="0.3">
      <c r="A19" s="28"/>
      <c r="B19" s="2" t="s">
        <v>23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ht="15.6" x14ac:dyDescent="0.3">
      <c r="A20" s="28"/>
      <c r="B20" s="2" t="s">
        <v>24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ht="16.2" thickBot="1" x14ac:dyDescent="0.35">
      <c r="A21" s="28"/>
      <c r="B21" s="2" t="s">
        <v>25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ht="15.6" customHeight="1" x14ac:dyDescent="0.3">
      <c r="A22" s="34" t="s">
        <v>31</v>
      </c>
      <c r="B22" s="1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3">
      <c r="A23" s="28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28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28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28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">
      <c r="A27" s="28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">
      <c r="A28" s="28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">
      <c r="A29" s="28" t="s">
        <v>32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28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28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28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28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4.4" customHeight="1" x14ac:dyDescent="0.3">
      <c r="A36" s="35" t="s">
        <v>33</v>
      </c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28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28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28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">
      <c r="A40" s="28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">
      <c r="A41" s="28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28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">
      <c r="A43" s="28" t="s">
        <v>34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28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">
      <c r="A45" s="28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">
      <c r="A46" s="28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">
      <c r="A47" s="28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">
      <c r="A48" s="28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">
      <c r="A49" s="28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">
      <c r="A50" s="35" t="s">
        <v>35</v>
      </c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">
      <c r="A51" s="28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">
      <c r="A52" s="28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">
      <c r="A53" s="28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">
      <c r="A54" s="28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">
      <c r="A55" s="28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28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28" t="s">
        <v>36</v>
      </c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28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28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28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28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28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" thickBot="1" x14ac:dyDescent="0.35">
      <c r="A63" s="29"/>
      <c r="B63" s="9"/>
      <c r="C63" s="9"/>
      <c r="D63" s="9"/>
      <c r="E63" s="9"/>
      <c r="F63" s="9"/>
      <c r="G63" s="9"/>
      <c r="H63" s="9"/>
      <c r="I63" s="9"/>
      <c r="J63" s="9"/>
      <c r="K63" s="9"/>
    </row>
    <row r="66" spans="2:2" ht="17.399999999999999" x14ac:dyDescent="0.3">
      <c r="B66" s="12" t="s">
        <v>41</v>
      </c>
    </row>
    <row r="67" spans="2:2" ht="18" x14ac:dyDescent="0.35">
      <c r="B67" s="11" t="s">
        <v>43</v>
      </c>
    </row>
    <row r="68" spans="2:2" ht="18" x14ac:dyDescent="0.35">
      <c r="B68" s="11" t="s">
        <v>42</v>
      </c>
    </row>
    <row r="69" spans="2:2" ht="18" x14ac:dyDescent="0.35">
      <c r="B69" s="11" t="s">
        <v>44</v>
      </c>
    </row>
  </sheetData>
  <mergeCells count="13">
    <mergeCell ref="A1:K1"/>
    <mergeCell ref="A3:K3"/>
    <mergeCell ref="A8:A14"/>
    <mergeCell ref="A57:A63"/>
    <mergeCell ref="A5:E5"/>
    <mergeCell ref="C6:F6"/>
    <mergeCell ref="G6:J6"/>
    <mergeCell ref="A15:A21"/>
    <mergeCell ref="A22:A28"/>
    <mergeCell ref="A29:A35"/>
    <mergeCell ref="A36:A42"/>
    <mergeCell ref="A43:A49"/>
    <mergeCell ref="A50:A56"/>
  </mergeCells>
  <phoneticPr fontId="1" type="noConversion"/>
  <pageMargins left="0.7" right="0.61" top="0.75" bottom="0.75" header="0.36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9736-532C-4265-90DE-C596D2F5D2DB}">
  <dimension ref="A1:O77"/>
  <sheetViews>
    <sheetView zoomScaleNormal="100" workbookViewId="0">
      <selection activeCell="D77" sqref="D77"/>
    </sheetView>
  </sheetViews>
  <sheetFormatPr defaultRowHeight="14.4" x14ac:dyDescent="0.3"/>
  <cols>
    <col min="1" max="1" width="5.5546875" customWidth="1"/>
    <col min="2" max="2" width="31.88671875" bestFit="1" customWidth="1"/>
    <col min="3" max="3" width="6.6640625" customWidth="1"/>
    <col min="4" max="11" width="6.88671875" bestFit="1" customWidth="1"/>
    <col min="12" max="14" width="8" bestFit="1" customWidth="1"/>
  </cols>
  <sheetData>
    <row r="1" spans="1:15" ht="24.6" customHeight="1" x14ac:dyDescent="0.4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3" spans="1:15" ht="20.399999999999999" x14ac:dyDescent="0.35">
      <c r="B3" s="37" t="s">
        <v>40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5" spans="1:15" ht="18" customHeight="1" x14ac:dyDescent="0.3">
      <c r="A5" s="39" t="s">
        <v>45</v>
      </c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1:15" ht="25.8" customHeight="1" x14ac:dyDescent="0.3">
      <c r="A6" s="41" t="s">
        <v>47</v>
      </c>
      <c r="B6" s="42" t="s">
        <v>46</v>
      </c>
      <c r="C6" s="38" t="s">
        <v>0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</row>
    <row r="7" spans="1:15" ht="22.8" customHeight="1" x14ac:dyDescent="0.3">
      <c r="A7" s="41"/>
      <c r="B7" s="42"/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12</v>
      </c>
    </row>
    <row r="8" spans="1:15" ht="15.6" customHeight="1" x14ac:dyDescent="0.3">
      <c r="A8" s="17"/>
      <c r="B8" s="40" t="s">
        <v>29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</row>
    <row r="9" spans="1:15" ht="15.6" customHeight="1" x14ac:dyDescent="0.35">
      <c r="A9" s="15">
        <v>1</v>
      </c>
      <c r="B9" s="2" t="s">
        <v>16</v>
      </c>
      <c r="C9" s="18" t="s">
        <v>51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5" ht="20.399999999999999" x14ac:dyDescent="0.35">
      <c r="A10" s="15">
        <v>2</v>
      </c>
      <c r="B10" s="2" t="s">
        <v>17</v>
      </c>
      <c r="C10" s="2"/>
      <c r="D10" s="18" t="s">
        <v>51</v>
      </c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5" ht="20.399999999999999" x14ac:dyDescent="0.35">
      <c r="A11" s="15">
        <v>3</v>
      </c>
      <c r="B11" s="2" t="s">
        <v>18</v>
      </c>
      <c r="C11" s="2"/>
      <c r="D11" s="2"/>
      <c r="E11" s="2"/>
      <c r="F11" s="2"/>
      <c r="G11" s="2"/>
      <c r="H11" s="2"/>
      <c r="I11" s="2"/>
      <c r="J11" s="2"/>
      <c r="K11" s="18" t="s">
        <v>51</v>
      </c>
      <c r="L11" s="2"/>
      <c r="M11" s="2"/>
      <c r="N11" s="2"/>
    </row>
    <row r="12" spans="1:15" ht="20.399999999999999" x14ac:dyDescent="0.35">
      <c r="A12" s="15">
        <v>4</v>
      </c>
      <c r="B12" s="2" t="s">
        <v>26</v>
      </c>
      <c r="C12" s="2"/>
      <c r="D12" s="2"/>
      <c r="E12" s="2"/>
      <c r="F12" s="2"/>
      <c r="G12" s="2"/>
      <c r="H12" s="2"/>
      <c r="I12" s="2"/>
      <c r="J12" s="2"/>
      <c r="K12" s="2"/>
      <c r="L12" s="18" t="s">
        <v>51</v>
      </c>
      <c r="M12" s="2"/>
      <c r="N12" s="2"/>
    </row>
    <row r="13" spans="1:15" ht="20.399999999999999" x14ac:dyDescent="0.35">
      <c r="A13" s="15">
        <v>5</v>
      </c>
      <c r="B13" s="2" t="s">
        <v>27</v>
      </c>
      <c r="C13" s="2"/>
      <c r="D13" s="2"/>
      <c r="E13" s="2"/>
      <c r="F13" s="2"/>
      <c r="G13" s="2"/>
      <c r="H13" s="2"/>
      <c r="I13" s="2"/>
      <c r="J13" s="2"/>
      <c r="K13" s="2"/>
      <c r="L13" s="18" t="s">
        <v>51</v>
      </c>
      <c r="M13" s="2"/>
      <c r="N13" s="2"/>
    </row>
    <row r="14" spans="1:15" ht="20.399999999999999" x14ac:dyDescent="0.35">
      <c r="A14" s="15">
        <v>6</v>
      </c>
      <c r="B14" s="2" t="s">
        <v>28</v>
      </c>
      <c r="C14" s="2"/>
      <c r="D14" s="2"/>
      <c r="E14" s="2"/>
      <c r="F14" s="2"/>
      <c r="G14" s="2"/>
      <c r="H14" s="2"/>
      <c r="I14" s="2"/>
      <c r="J14" s="2"/>
      <c r="K14" s="2"/>
      <c r="L14" s="18" t="s">
        <v>51</v>
      </c>
      <c r="M14" s="2"/>
      <c r="N14" s="2"/>
    </row>
    <row r="15" spans="1:15" ht="15.6" x14ac:dyDescent="0.3">
      <c r="A15" s="15"/>
      <c r="B15" s="13" t="s">
        <v>48</v>
      </c>
      <c r="C15" s="13">
        <f>C24</f>
        <v>1</v>
      </c>
      <c r="D15" s="13">
        <f t="shared" ref="D15:N15" si="0">COUNTA(D9:D14)</f>
        <v>1</v>
      </c>
      <c r="E15" s="13">
        <f t="shared" si="0"/>
        <v>0</v>
      </c>
      <c r="F15" s="13">
        <f t="shared" si="0"/>
        <v>0</v>
      </c>
      <c r="G15" s="13">
        <f t="shared" si="0"/>
        <v>0</v>
      </c>
      <c r="H15" s="13">
        <f t="shared" si="0"/>
        <v>0</v>
      </c>
      <c r="I15" s="13">
        <f t="shared" si="0"/>
        <v>0</v>
      </c>
      <c r="J15" s="13">
        <f t="shared" si="0"/>
        <v>0</v>
      </c>
      <c r="K15" s="13">
        <f t="shared" si="0"/>
        <v>1</v>
      </c>
      <c r="L15" s="13">
        <f t="shared" si="0"/>
        <v>3</v>
      </c>
      <c r="M15" s="13">
        <f t="shared" si="0"/>
        <v>0</v>
      </c>
      <c r="N15" s="13">
        <f t="shared" si="0"/>
        <v>0</v>
      </c>
    </row>
    <row r="16" spans="1:15" ht="18" x14ac:dyDescent="0.3">
      <c r="A16" s="15"/>
      <c r="B16" s="40" t="s">
        <v>30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</row>
    <row r="17" spans="1:14" ht="15.6" customHeight="1" x14ac:dyDescent="0.35">
      <c r="A17" s="15">
        <v>1</v>
      </c>
      <c r="B17" s="2" t="s">
        <v>19</v>
      </c>
      <c r="C17" s="2"/>
      <c r="D17" s="2"/>
      <c r="E17" s="2"/>
      <c r="F17" s="2"/>
      <c r="G17" s="2"/>
      <c r="H17" s="2"/>
      <c r="I17" s="2"/>
      <c r="J17" s="2"/>
      <c r="K17" s="2"/>
      <c r="L17" s="16" t="s">
        <v>51</v>
      </c>
      <c r="M17" s="2"/>
      <c r="N17" s="2"/>
    </row>
    <row r="18" spans="1:14" ht="20.399999999999999" x14ac:dyDescent="0.35">
      <c r="A18" s="15">
        <v>2</v>
      </c>
      <c r="B18" s="2" t="s">
        <v>20</v>
      </c>
      <c r="C18" s="2"/>
      <c r="D18" s="2"/>
      <c r="E18" s="2"/>
      <c r="F18" s="2"/>
      <c r="G18" s="2"/>
      <c r="H18" s="2"/>
      <c r="I18" s="2"/>
      <c r="J18" s="2"/>
      <c r="K18" s="16" t="s">
        <v>51</v>
      </c>
      <c r="L18" s="2"/>
      <c r="M18" s="2"/>
      <c r="N18" s="2"/>
    </row>
    <row r="19" spans="1:14" ht="20.399999999999999" x14ac:dyDescent="0.35">
      <c r="A19" s="15">
        <v>3</v>
      </c>
      <c r="B19" s="2" t="s">
        <v>21</v>
      </c>
      <c r="C19" s="2"/>
      <c r="D19" s="2"/>
      <c r="E19" s="2"/>
      <c r="F19" s="2"/>
      <c r="G19" s="2"/>
      <c r="H19" s="2"/>
      <c r="I19" s="2"/>
      <c r="J19" s="2"/>
      <c r="K19" s="2"/>
      <c r="L19" s="16" t="s">
        <v>51</v>
      </c>
      <c r="M19" s="2"/>
      <c r="N19" s="2"/>
    </row>
    <row r="20" spans="1:14" ht="20.399999999999999" x14ac:dyDescent="0.35">
      <c r="A20" s="15">
        <v>4</v>
      </c>
      <c r="B20" s="2" t="s">
        <v>22</v>
      </c>
      <c r="C20" s="2"/>
      <c r="D20" s="2"/>
      <c r="E20" s="2"/>
      <c r="F20" s="2"/>
      <c r="G20" s="2"/>
      <c r="H20" s="2"/>
      <c r="I20" s="2"/>
      <c r="J20" s="2"/>
      <c r="K20" s="16" t="s">
        <v>51</v>
      </c>
      <c r="L20" s="2"/>
      <c r="M20" s="2"/>
      <c r="N20" s="2"/>
    </row>
    <row r="21" spans="1:14" ht="20.399999999999999" x14ac:dyDescent="0.35">
      <c r="A21" s="15">
        <v>5</v>
      </c>
      <c r="B21" s="2" t="s">
        <v>23</v>
      </c>
      <c r="C21" s="2"/>
      <c r="D21" s="16" t="s">
        <v>51</v>
      </c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20.399999999999999" x14ac:dyDescent="0.35">
      <c r="A22" s="15">
        <v>6</v>
      </c>
      <c r="B22" s="2" t="s">
        <v>24</v>
      </c>
      <c r="C22" s="16" t="s">
        <v>51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20.399999999999999" x14ac:dyDescent="0.35">
      <c r="A23" s="15">
        <v>7</v>
      </c>
      <c r="B23" s="2" t="s">
        <v>25</v>
      </c>
      <c r="C23" s="2"/>
      <c r="D23" s="2"/>
      <c r="E23" s="2"/>
      <c r="F23" s="2"/>
      <c r="G23" s="2"/>
      <c r="H23" s="2"/>
      <c r="I23" s="2"/>
      <c r="J23" s="2"/>
      <c r="K23" s="2"/>
      <c r="L23" s="16" t="s">
        <v>51</v>
      </c>
      <c r="M23" s="2"/>
      <c r="N23" s="2"/>
    </row>
    <row r="24" spans="1:14" ht="15.6" x14ac:dyDescent="0.3">
      <c r="A24" s="15"/>
      <c r="B24" s="13" t="s">
        <v>48</v>
      </c>
      <c r="C24" s="13">
        <f>COUNTA(C17:C23)</f>
        <v>1</v>
      </c>
      <c r="D24" s="13">
        <f t="shared" ref="D24:N24" si="1">COUNTA(D17:D23)</f>
        <v>1</v>
      </c>
      <c r="E24" s="13">
        <f t="shared" si="1"/>
        <v>0</v>
      </c>
      <c r="F24" s="13">
        <f t="shared" si="1"/>
        <v>0</v>
      </c>
      <c r="G24" s="13">
        <f t="shared" si="1"/>
        <v>0</v>
      </c>
      <c r="H24" s="13">
        <f t="shared" si="1"/>
        <v>0</v>
      </c>
      <c r="I24" s="13">
        <f t="shared" si="1"/>
        <v>0</v>
      </c>
      <c r="J24" s="13">
        <f t="shared" si="1"/>
        <v>0</v>
      </c>
      <c r="K24" s="13">
        <f t="shared" si="1"/>
        <v>2</v>
      </c>
      <c r="L24" s="13">
        <f t="shared" si="1"/>
        <v>3</v>
      </c>
      <c r="M24" s="13">
        <f t="shared" si="1"/>
        <v>0</v>
      </c>
      <c r="N24" s="13">
        <f t="shared" si="1"/>
        <v>0</v>
      </c>
    </row>
    <row r="25" spans="1:14" ht="15.6" customHeight="1" x14ac:dyDescent="0.3">
      <c r="A25" s="15"/>
      <c r="B25" s="40" t="s">
        <v>31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20.399999999999999" x14ac:dyDescent="0.35">
      <c r="A26" s="15">
        <v>1</v>
      </c>
      <c r="B26" s="1"/>
      <c r="C26" s="16" t="s">
        <v>51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20.399999999999999" x14ac:dyDescent="0.35">
      <c r="A27" s="15">
        <v>2</v>
      </c>
      <c r="B27" s="1"/>
      <c r="C27" s="16" t="s">
        <v>51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20.399999999999999" x14ac:dyDescent="0.35">
      <c r="A28" s="15">
        <v>3</v>
      </c>
      <c r="B28" s="1"/>
      <c r="C28" s="16" t="s">
        <v>51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20.399999999999999" x14ac:dyDescent="0.35">
      <c r="A29" s="15">
        <v>4</v>
      </c>
      <c r="B29" s="1"/>
      <c r="C29" s="1"/>
      <c r="D29" s="16" t="s">
        <v>51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20.399999999999999" x14ac:dyDescent="0.35">
      <c r="A30" s="15">
        <v>5</v>
      </c>
      <c r="B30" s="1"/>
      <c r="C30" s="1"/>
      <c r="D30" s="16" t="s">
        <v>51</v>
      </c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20.399999999999999" x14ac:dyDescent="0.35">
      <c r="A31" s="15">
        <v>6</v>
      </c>
      <c r="B31" s="1"/>
      <c r="C31" s="1"/>
      <c r="D31" s="1"/>
      <c r="E31" s="16" t="s">
        <v>51</v>
      </c>
      <c r="F31" s="1"/>
      <c r="G31" s="1"/>
      <c r="H31" s="1"/>
      <c r="I31" s="1"/>
      <c r="J31" s="1"/>
      <c r="K31" s="1"/>
      <c r="L31" s="1"/>
      <c r="M31" s="1"/>
      <c r="N31" s="1"/>
    </row>
    <row r="32" spans="1:14" ht="15.6" x14ac:dyDescent="0.3">
      <c r="A32" s="15"/>
      <c r="B32" s="13" t="s">
        <v>48</v>
      </c>
      <c r="C32" s="14">
        <f>COUNTA(C26:C31)</f>
        <v>3</v>
      </c>
      <c r="D32" s="14">
        <f t="shared" ref="D32:N32" si="2">COUNTA(D26:D31)</f>
        <v>2</v>
      </c>
      <c r="E32" s="14">
        <f t="shared" si="2"/>
        <v>1</v>
      </c>
      <c r="F32" s="14">
        <f t="shared" si="2"/>
        <v>0</v>
      </c>
      <c r="G32" s="14">
        <f t="shared" si="2"/>
        <v>0</v>
      </c>
      <c r="H32" s="14">
        <f t="shared" si="2"/>
        <v>0</v>
      </c>
      <c r="I32" s="14">
        <f t="shared" si="2"/>
        <v>0</v>
      </c>
      <c r="J32" s="14">
        <f t="shared" si="2"/>
        <v>0</v>
      </c>
      <c r="K32" s="14">
        <f t="shared" si="2"/>
        <v>0</v>
      </c>
      <c r="L32" s="14">
        <f t="shared" si="2"/>
        <v>0</v>
      </c>
      <c r="M32" s="14">
        <f t="shared" si="2"/>
        <v>0</v>
      </c>
      <c r="N32" s="14">
        <f t="shared" si="2"/>
        <v>0</v>
      </c>
    </row>
    <row r="33" spans="1:14" ht="14.4" customHeight="1" x14ac:dyDescent="0.3">
      <c r="A33" s="15"/>
      <c r="B33" s="40" t="s">
        <v>49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</row>
    <row r="34" spans="1:14" ht="20.399999999999999" x14ac:dyDescent="0.35">
      <c r="A34" s="15">
        <v>1</v>
      </c>
      <c r="B34" s="1"/>
      <c r="C34" s="16" t="s">
        <v>51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20.399999999999999" x14ac:dyDescent="0.35">
      <c r="A35" s="15">
        <v>2</v>
      </c>
      <c r="B35" s="1"/>
      <c r="C35" s="1"/>
      <c r="D35" s="16" t="s">
        <v>51</v>
      </c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20.399999999999999" x14ac:dyDescent="0.35">
      <c r="A36" s="15">
        <v>3</v>
      </c>
      <c r="B36" s="1"/>
      <c r="C36" s="1"/>
      <c r="D36" s="1"/>
      <c r="E36" s="16" t="s">
        <v>51</v>
      </c>
      <c r="F36" s="1"/>
      <c r="G36" s="1"/>
      <c r="H36" s="1"/>
      <c r="I36" s="1"/>
      <c r="J36" s="1"/>
      <c r="K36" s="1"/>
      <c r="L36" s="1"/>
      <c r="M36" s="1"/>
      <c r="N36" s="1"/>
    </row>
    <row r="37" spans="1:14" ht="20.399999999999999" x14ac:dyDescent="0.35">
      <c r="A37" s="15">
        <v>4</v>
      </c>
      <c r="B37" s="1"/>
      <c r="C37" s="1"/>
      <c r="D37" s="1"/>
      <c r="E37" s="1"/>
      <c r="F37" s="16" t="s">
        <v>51</v>
      </c>
      <c r="G37" s="1"/>
      <c r="H37" s="1"/>
      <c r="I37" s="1"/>
      <c r="J37" s="1"/>
      <c r="K37" s="1"/>
      <c r="L37" s="1"/>
      <c r="M37" s="1"/>
      <c r="N37" s="1"/>
    </row>
    <row r="38" spans="1:14" ht="20.399999999999999" x14ac:dyDescent="0.35">
      <c r="A38" s="15">
        <v>5</v>
      </c>
      <c r="B38" s="1"/>
      <c r="C38" s="1"/>
      <c r="D38" s="1"/>
      <c r="E38" s="1"/>
      <c r="F38" s="16" t="s">
        <v>51</v>
      </c>
      <c r="G38" s="1"/>
      <c r="H38" s="1"/>
      <c r="I38" s="1"/>
      <c r="J38" s="1"/>
      <c r="K38" s="1"/>
      <c r="L38" s="1"/>
      <c r="M38" s="1"/>
      <c r="N38" s="1"/>
    </row>
    <row r="39" spans="1:14" ht="20.399999999999999" x14ac:dyDescent="0.35">
      <c r="A39" s="15">
        <v>6</v>
      </c>
      <c r="B39" s="1"/>
      <c r="C39" s="1"/>
      <c r="D39" s="1"/>
      <c r="E39" s="1"/>
      <c r="F39" s="16" t="s">
        <v>51</v>
      </c>
      <c r="G39" s="1"/>
      <c r="H39" s="1"/>
      <c r="I39" s="1"/>
      <c r="J39" s="1"/>
      <c r="K39" s="1"/>
      <c r="L39" s="1"/>
      <c r="M39" s="1"/>
      <c r="N39" s="1"/>
    </row>
    <row r="40" spans="1:14" ht="15.6" x14ac:dyDescent="0.3">
      <c r="A40" s="15"/>
      <c r="B40" s="13" t="s">
        <v>48</v>
      </c>
      <c r="C40" s="14">
        <f>COUNTA(C34:C39)</f>
        <v>1</v>
      </c>
      <c r="D40" s="14">
        <f t="shared" ref="D40:N40" si="3">COUNTA(D34:D39)</f>
        <v>1</v>
      </c>
      <c r="E40" s="14">
        <f t="shared" si="3"/>
        <v>1</v>
      </c>
      <c r="F40" s="14">
        <f t="shared" si="3"/>
        <v>3</v>
      </c>
      <c r="G40" s="14">
        <f t="shared" si="3"/>
        <v>0</v>
      </c>
      <c r="H40" s="14">
        <f t="shared" si="3"/>
        <v>0</v>
      </c>
      <c r="I40" s="14">
        <f t="shared" si="3"/>
        <v>0</v>
      </c>
      <c r="J40" s="14">
        <f t="shared" si="3"/>
        <v>0</v>
      </c>
      <c r="K40" s="14">
        <f t="shared" si="3"/>
        <v>0</v>
      </c>
      <c r="L40" s="14">
        <f t="shared" si="3"/>
        <v>0</v>
      </c>
      <c r="M40" s="14">
        <f t="shared" si="3"/>
        <v>0</v>
      </c>
      <c r="N40" s="14">
        <f t="shared" si="3"/>
        <v>0</v>
      </c>
    </row>
    <row r="41" spans="1:14" ht="14.4" customHeight="1" x14ac:dyDescent="0.3">
      <c r="A41" s="15"/>
      <c r="B41" s="40" t="s">
        <v>33</v>
      </c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</row>
    <row r="42" spans="1:14" ht="20.399999999999999" x14ac:dyDescent="0.35">
      <c r="A42" s="15">
        <v>1</v>
      </c>
      <c r="B42" s="1"/>
      <c r="C42" s="1"/>
      <c r="D42" s="1"/>
      <c r="E42" s="1"/>
      <c r="F42" s="16" t="s">
        <v>51</v>
      </c>
      <c r="G42" s="1"/>
      <c r="H42" s="1"/>
      <c r="I42" s="1"/>
      <c r="J42" s="1"/>
      <c r="K42" s="1"/>
      <c r="L42" s="1"/>
      <c r="M42" s="1"/>
      <c r="N42" s="1"/>
    </row>
    <row r="43" spans="1:14" ht="20.399999999999999" x14ac:dyDescent="0.35">
      <c r="A43" s="15">
        <v>2</v>
      </c>
      <c r="B43" s="1"/>
      <c r="C43" s="16" t="s">
        <v>51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20.399999999999999" x14ac:dyDescent="0.35">
      <c r="A44" s="15">
        <v>3</v>
      </c>
      <c r="B44" s="1"/>
      <c r="C44" s="16" t="s">
        <v>51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.6" x14ac:dyDescent="0.3">
      <c r="A45" s="15">
        <v>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20.399999999999999" x14ac:dyDescent="0.35">
      <c r="A46" s="15">
        <v>5</v>
      </c>
      <c r="B46" s="1"/>
      <c r="C46" s="1"/>
      <c r="D46" s="1"/>
      <c r="E46" s="16" t="s">
        <v>51</v>
      </c>
      <c r="F46" s="1"/>
      <c r="G46" s="1"/>
      <c r="H46" s="1"/>
      <c r="I46" s="1"/>
      <c r="J46" s="1"/>
      <c r="K46" s="1"/>
      <c r="L46" s="1"/>
      <c r="M46" s="1"/>
      <c r="N46" s="16" t="s">
        <v>51</v>
      </c>
    </row>
    <row r="47" spans="1:14" ht="20.399999999999999" x14ac:dyDescent="0.35">
      <c r="A47" s="15">
        <v>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6" t="s">
        <v>51</v>
      </c>
    </row>
    <row r="48" spans="1:14" ht="15.6" x14ac:dyDescent="0.3">
      <c r="A48" s="15"/>
      <c r="B48" s="13" t="s">
        <v>48</v>
      </c>
      <c r="C48" s="14">
        <f>COUNTA(C42:C47)</f>
        <v>2</v>
      </c>
      <c r="D48" s="14">
        <f t="shared" ref="D48:N48" si="4">COUNTA(D42:D47)</f>
        <v>0</v>
      </c>
      <c r="E48" s="14">
        <f t="shared" si="4"/>
        <v>1</v>
      </c>
      <c r="F48" s="14">
        <f t="shared" si="4"/>
        <v>1</v>
      </c>
      <c r="G48" s="14">
        <f t="shared" si="4"/>
        <v>0</v>
      </c>
      <c r="H48" s="14">
        <f t="shared" si="4"/>
        <v>0</v>
      </c>
      <c r="I48" s="14">
        <f t="shared" si="4"/>
        <v>0</v>
      </c>
      <c r="J48" s="14">
        <f t="shared" si="4"/>
        <v>0</v>
      </c>
      <c r="K48" s="14">
        <f t="shared" si="4"/>
        <v>0</v>
      </c>
      <c r="L48" s="14">
        <f t="shared" si="4"/>
        <v>0</v>
      </c>
      <c r="M48" s="14">
        <f t="shared" si="4"/>
        <v>0</v>
      </c>
      <c r="N48" s="14">
        <f t="shared" si="4"/>
        <v>2</v>
      </c>
    </row>
    <row r="49" spans="1:14" ht="14.4" customHeight="1" x14ac:dyDescent="0.3">
      <c r="A49" s="15"/>
      <c r="B49" s="40" t="s">
        <v>34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</row>
    <row r="50" spans="1:14" ht="20.399999999999999" x14ac:dyDescent="0.35">
      <c r="A50" s="15">
        <v>1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6" t="s">
        <v>51</v>
      </c>
      <c r="M50" s="1"/>
      <c r="N50" s="1"/>
    </row>
    <row r="51" spans="1:14" ht="20.399999999999999" x14ac:dyDescent="0.35">
      <c r="A51" s="15">
        <v>2</v>
      </c>
      <c r="B51" s="1"/>
      <c r="C51" s="1"/>
      <c r="D51" s="1"/>
      <c r="E51" s="1"/>
      <c r="F51" s="1"/>
      <c r="G51" s="1"/>
      <c r="H51" s="1"/>
      <c r="I51" s="1"/>
      <c r="J51" s="1"/>
      <c r="K51" s="16" t="s">
        <v>51</v>
      </c>
      <c r="L51" s="1"/>
      <c r="M51" s="1"/>
      <c r="N51" s="1"/>
    </row>
    <row r="52" spans="1:14" ht="20.399999999999999" x14ac:dyDescent="0.35">
      <c r="A52" s="15">
        <v>3</v>
      </c>
      <c r="B52" s="1"/>
      <c r="C52" s="16" t="s">
        <v>51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20.399999999999999" x14ac:dyDescent="0.35">
      <c r="A53" s="15">
        <v>4</v>
      </c>
      <c r="B53" s="1"/>
      <c r="C53" s="16" t="s">
        <v>51</v>
      </c>
      <c r="D53" s="1"/>
      <c r="E53" s="1"/>
      <c r="F53" s="1"/>
      <c r="G53" s="16" t="s">
        <v>51</v>
      </c>
      <c r="H53" s="1"/>
      <c r="I53" s="1"/>
      <c r="J53" s="1"/>
      <c r="K53" s="1"/>
      <c r="L53" s="1"/>
      <c r="M53" s="1"/>
      <c r="N53" s="1"/>
    </row>
    <row r="54" spans="1:14" ht="20.399999999999999" x14ac:dyDescent="0.35">
      <c r="A54" s="15">
        <v>5</v>
      </c>
      <c r="B54" s="1"/>
      <c r="C54" s="1"/>
      <c r="D54" s="1"/>
      <c r="E54" s="1"/>
      <c r="F54" s="16" t="s">
        <v>51</v>
      </c>
      <c r="G54" s="1"/>
      <c r="H54" s="1"/>
      <c r="I54" s="1"/>
      <c r="J54" s="1"/>
      <c r="K54" s="1"/>
      <c r="L54" s="1"/>
      <c r="M54" s="1"/>
      <c r="N54" s="1"/>
    </row>
    <row r="55" spans="1:14" ht="20.399999999999999" x14ac:dyDescent="0.35">
      <c r="A55" s="15">
        <v>6</v>
      </c>
      <c r="B55" s="1"/>
      <c r="C55" s="1"/>
      <c r="D55" s="1"/>
      <c r="E55" s="1"/>
      <c r="F55" s="16" t="s">
        <v>51</v>
      </c>
      <c r="G55" s="1"/>
      <c r="H55" s="1"/>
      <c r="I55" s="1"/>
      <c r="J55" s="1"/>
      <c r="K55" s="1"/>
      <c r="L55" s="1"/>
      <c r="M55" s="1"/>
      <c r="N55" s="1"/>
    </row>
    <row r="56" spans="1:14" ht="15.6" x14ac:dyDescent="0.3">
      <c r="A56" s="15"/>
      <c r="B56" s="13" t="s">
        <v>48</v>
      </c>
      <c r="C56" s="14">
        <f>COUNTA(C50:C55)</f>
        <v>2</v>
      </c>
      <c r="D56" s="14">
        <f t="shared" ref="D56:N56" si="5">COUNTA(D50:D55)</f>
        <v>0</v>
      </c>
      <c r="E56" s="14">
        <f t="shared" si="5"/>
        <v>0</v>
      </c>
      <c r="F56" s="14">
        <f t="shared" si="5"/>
        <v>2</v>
      </c>
      <c r="G56" s="14">
        <f t="shared" si="5"/>
        <v>1</v>
      </c>
      <c r="H56" s="14">
        <f t="shared" si="5"/>
        <v>0</v>
      </c>
      <c r="I56" s="14">
        <f t="shared" si="5"/>
        <v>0</v>
      </c>
      <c r="J56" s="14">
        <f t="shared" si="5"/>
        <v>0</v>
      </c>
      <c r="K56" s="14">
        <f t="shared" si="5"/>
        <v>1</v>
      </c>
      <c r="L56" s="14">
        <f t="shared" si="5"/>
        <v>1</v>
      </c>
      <c r="M56" s="14">
        <f t="shared" si="5"/>
        <v>0</v>
      </c>
      <c r="N56" s="14">
        <f t="shared" si="5"/>
        <v>0</v>
      </c>
    </row>
    <row r="57" spans="1:14" ht="14.4" customHeight="1" x14ac:dyDescent="0.3">
      <c r="A57" s="15"/>
      <c r="B57" s="40" t="s">
        <v>35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</row>
    <row r="58" spans="1:14" ht="20.399999999999999" x14ac:dyDescent="0.35">
      <c r="A58" s="15">
        <v>1</v>
      </c>
      <c r="B58" s="1"/>
      <c r="C58" s="16" t="s">
        <v>51</v>
      </c>
      <c r="D58" s="1"/>
      <c r="E58" s="1"/>
      <c r="F58" s="1"/>
      <c r="G58" s="1"/>
      <c r="H58" s="16" t="s">
        <v>51</v>
      </c>
      <c r="I58" s="16" t="s">
        <v>51</v>
      </c>
      <c r="J58" s="16" t="s">
        <v>51</v>
      </c>
      <c r="K58" s="1"/>
      <c r="L58" s="1"/>
      <c r="M58" s="1"/>
      <c r="N58" s="1"/>
    </row>
    <row r="59" spans="1:14" ht="20.399999999999999" x14ac:dyDescent="0.35">
      <c r="A59" s="15">
        <v>2</v>
      </c>
      <c r="B59" s="1"/>
      <c r="C59" s="16" t="s">
        <v>51</v>
      </c>
      <c r="D59" s="16" t="s">
        <v>51</v>
      </c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20.399999999999999" x14ac:dyDescent="0.35">
      <c r="A60" s="15">
        <v>3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6" t="s">
        <v>51</v>
      </c>
    </row>
    <row r="61" spans="1:14" ht="20.399999999999999" x14ac:dyDescent="0.35">
      <c r="A61" s="15">
        <v>4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6" t="s">
        <v>51</v>
      </c>
    </row>
    <row r="62" spans="1:14" ht="20.399999999999999" x14ac:dyDescent="0.35">
      <c r="A62" s="15">
        <v>5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6" t="s">
        <v>51</v>
      </c>
      <c r="N62" s="1"/>
    </row>
    <row r="63" spans="1:14" ht="20.399999999999999" x14ac:dyDescent="0.35">
      <c r="A63" s="15">
        <v>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6" t="s">
        <v>51</v>
      </c>
      <c r="N63" s="1"/>
    </row>
    <row r="64" spans="1:14" ht="15.6" x14ac:dyDescent="0.3">
      <c r="A64" s="15"/>
      <c r="B64" s="13" t="s">
        <v>48</v>
      </c>
      <c r="C64" s="14">
        <f>COUNTA(C58:C63)</f>
        <v>2</v>
      </c>
      <c r="D64" s="14">
        <f t="shared" ref="D64:N64" si="6">COUNTA(D58:D63)</f>
        <v>1</v>
      </c>
      <c r="E64" s="14">
        <f t="shared" si="6"/>
        <v>0</v>
      </c>
      <c r="F64" s="14">
        <f t="shared" si="6"/>
        <v>0</v>
      </c>
      <c r="G64" s="14">
        <f t="shared" si="6"/>
        <v>0</v>
      </c>
      <c r="H64" s="14">
        <f t="shared" si="6"/>
        <v>1</v>
      </c>
      <c r="I64" s="14">
        <f t="shared" si="6"/>
        <v>1</v>
      </c>
      <c r="J64" s="14">
        <f t="shared" si="6"/>
        <v>1</v>
      </c>
      <c r="K64" s="14">
        <f t="shared" si="6"/>
        <v>0</v>
      </c>
      <c r="L64" s="14">
        <f t="shared" si="6"/>
        <v>0</v>
      </c>
      <c r="M64" s="14">
        <f t="shared" si="6"/>
        <v>2</v>
      </c>
      <c r="N64" s="14">
        <f t="shared" si="6"/>
        <v>2</v>
      </c>
    </row>
    <row r="65" spans="1:14" ht="14.4" customHeight="1" x14ac:dyDescent="0.3">
      <c r="A65" s="15"/>
      <c r="B65" s="40" t="s">
        <v>50</v>
      </c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</row>
    <row r="66" spans="1:14" ht="20.399999999999999" x14ac:dyDescent="0.35">
      <c r="A66" s="15">
        <v>1</v>
      </c>
      <c r="B66" s="1"/>
      <c r="C66" s="16" t="s">
        <v>51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20.399999999999999" x14ac:dyDescent="0.35">
      <c r="A67" s="15">
        <v>2</v>
      </c>
      <c r="B67" s="1"/>
      <c r="C67" s="1"/>
      <c r="D67" s="1"/>
      <c r="E67" s="1"/>
      <c r="F67" s="16" t="s">
        <v>51</v>
      </c>
      <c r="G67" s="1"/>
      <c r="H67" s="16" t="s">
        <v>51</v>
      </c>
      <c r="I67" s="16" t="s">
        <v>51</v>
      </c>
      <c r="J67" s="16" t="s">
        <v>51</v>
      </c>
      <c r="K67" s="1"/>
      <c r="L67" s="1"/>
      <c r="M67" s="1"/>
      <c r="N67" s="1"/>
    </row>
    <row r="68" spans="1:14" ht="20.399999999999999" x14ac:dyDescent="0.35">
      <c r="A68" s="15">
        <v>3</v>
      </c>
      <c r="B68" s="1"/>
      <c r="C68" s="1"/>
      <c r="D68" s="1"/>
      <c r="E68" s="1"/>
      <c r="F68" s="16" t="s">
        <v>51</v>
      </c>
      <c r="G68" s="1"/>
      <c r="H68" s="1"/>
      <c r="I68" s="1"/>
      <c r="J68" s="1"/>
      <c r="K68" s="1"/>
      <c r="L68" s="1"/>
      <c r="M68" s="1"/>
      <c r="N68" s="1"/>
    </row>
    <row r="69" spans="1:14" ht="20.399999999999999" x14ac:dyDescent="0.35">
      <c r="A69" s="15">
        <v>4</v>
      </c>
      <c r="B69" s="1"/>
      <c r="C69" s="1"/>
      <c r="D69" s="1"/>
      <c r="E69" s="1"/>
      <c r="F69" s="1"/>
      <c r="G69" s="16" t="s">
        <v>51</v>
      </c>
      <c r="H69" s="1"/>
      <c r="I69" s="1"/>
      <c r="J69" s="1"/>
      <c r="K69" s="1"/>
      <c r="L69" s="1"/>
      <c r="M69" s="1"/>
      <c r="N69" s="1"/>
    </row>
    <row r="70" spans="1:14" ht="20.399999999999999" x14ac:dyDescent="0.35">
      <c r="A70" s="15">
        <v>5</v>
      </c>
      <c r="B70" s="1"/>
      <c r="C70" s="1"/>
      <c r="D70" s="1"/>
      <c r="E70" s="1"/>
      <c r="F70" s="16" t="s">
        <v>51</v>
      </c>
      <c r="G70" s="1"/>
      <c r="H70" s="1"/>
      <c r="I70" s="1"/>
      <c r="J70" s="1"/>
      <c r="K70" s="1"/>
      <c r="L70" s="1"/>
      <c r="M70" s="1"/>
      <c r="N70" s="1"/>
    </row>
    <row r="71" spans="1:14" ht="15.6" x14ac:dyDescent="0.3">
      <c r="A71" s="19"/>
      <c r="B71" s="13" t="s">
        <v>48</v>
      </c>
      <c r="C71" s="14">
        <f>COUNTA(C66:C70)</f>
        <v>1</v>
      </c>
      <c r="D71" s="14">
        <f t="shared" ref="D71:N71" si="7">COUNTA(D66:D70)</f>
        <v>0</v>
      </c>
      <c r="E71" s="14">
        <f t="shared" si="7"/>
        <v>0</v>
      </c>
      <c r="F71" s="14">
        <f t="shared" si="7"/>
        <v>3</v>
      </c>
      <c r="G71" s="14">
        <f t="shared" si="7"/>
        <v>1</v>
      </c>
      <c r="H71" s="14">
        <f t="shared" si="7"/>
        <v>1</v>
      </c>
      <c r="I71" s="14">
        <f t="shared" si="7"/>
        <v>1</v>
      </c>
      <c r="J71" s="14">
        <f t="shared" si="7"/>
        <v>1</v>
      </c>
      <c r="K71" s="14">
        <f t="shared" si="7"/>
        <v>0</v>
      </c>
      <c r="L71" s="14">
        <f t="shared" si="7"/>
        <v>0</v>
      </c>
      <c r="M71" s="14">
        <f t="shared" si="7"/>
        <v>0</v>
      </c>
      <c r="N71" s="14">
        <f t="shared" si="7"/>
        <v>0</v>
      </c>
    </row>
    <row r="72" spans="1:14" ht="18" x14ac:dyDescent="0.35">
      <c r="A72" s="1"/>
      <c r="B72" s="21" t="s">
        <v>52</v>
      </c>
      <c r="C72" s="20">
        <f>(C15+C24+C32+C40+C48+C56+C64+C71)</f>
        <v>13</v>
      </c>
      <c r="D72" s="20">
        <f t="shared" ref="D72:N72" si="8">(D15+D24+D32+D40+D48+D56+D64+D71)</f>
        <v>6</v>
      </c>
      <c r="E72" s="20">
        <f t="shared" si="8"/>
        <v>3</v>
      </c>
      <c r="F72" s="20">
        <f t="shared" si="8"/>
        <v>9</v>
      </c>
      <c r="G72" s="20">
        <f t="shared" si="8"/>
        <v>2</v>
      </c>
      <c r="H72" s="20">
        <f t="shared" si="8"/>
        <v>2</v>
      </c>
      <c r="I72" s="20">
        <f t="shared" si="8"/>
        <v>2</v>
      </c>
      <c r="J72" s="20">
        <f t="shared" si="8"/>
        <v>2</v>
      </c>
      <c r="K72" s="20">
        <f t="shared" si="8"/>
        <v>4</v>
      </c>
      <c r="L72" s="20">
        <f t="shared" si="8"/>
        <v>7</v>
      </c>
      <c r="M72" s="20">
        <f t="shared" si="8"/>
        <v>2</v>
      </c>
      <c r="N72" s="20">
        <f t="shared" si="8"/>
        <v>4</v>
      </c>
    </row>
    <row r="74" spans="1:14" ht="17.399999999999999" x14ac:dyDescent="0.3">
      <c r="B74" s="12"/>
    </row>
    <row r="75" spans="1:14" ht="18" x14ac:dyDescent="0.35">
      <c r="B75" s="11"/>
    </row>
    <row r="76" spans="1:14" ht="18" x14ac:dyDescent="0.35">
      <c r="B76" s="11"/>
    </row>
    <row r="77" spans="1:14" ht="18" x14ac:dyDescent="0.35">
      <c r="B77" s="11"/>
    </row>
  </sheetData>
  <mergeCells count="14">
    <mergeCell ref="B16:N16"/>
    <mergeCell ref="B25:N25"/>
    <mergeCell ref="B49:N49"/>
    <mergeCell ref="B57:N57"/>
    <mergeCell ref="B65:N65"/>
    <mergeCell ref="B33:N33"/>
    <mergeCell ref="B41:N41"/>
    <mergeCell ref="A1:N1"/>
    <mergeCell ref="C6:N6"/>
    <mergeCell ref="B3:O3"/>
    <mergeCell ref="A5:K5"/>
    <mergeCell ref="B8:N8"/>
    <mergeCell ref="A6:A7"/>
    <mergeCell ref="B6:B7"/>
  </mergeCells>
  <pageMargins left="0.7" right="0.61" top="0.75" bottom="0.75" header="0.36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zoomScaleNormal="100" workbookViewId="0">
      <selection activeCell="A3" sqref="A3:N3"/>
    </sheetView>
  </sheetViews>
  <sheetFormatPr defaultRowHeight="14.4" x14ac:dyDescent="0.3"/>
  <cols>
    <col min="1" max="1" width="7" customWidth="1"/>
    <col min="2" max="2" width="31.88671875" bestFit="1" customWidth="1"/>
    <col min="3" max="3" width="6.6640625" customWidth="1"/>
    <col min="4" max="11" width="6.88671875" bestFit="1" customWidth="1"/>
    <col min="12" max="14" width="8" bestFit="1" customWidth="1"/>
  </cols>
  <sheetData>
    <row r="1" spans="1:14" ht="24.6" x14ac:dyDescent="0.4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3" spans="1:14" ht="20.399999999999999" x14ac:dyDescent="0.35">
      <c r="A3" s="37" t="s">
        <v>40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5" spans="1:14" ht="18" thickBot="1" x14ac:dyDescent="0.35">
      <c r="A5" s="39" t="s">
        <v>39</v>
      </c>
      <c r="B5" s="39"/>
    </row>
    <row r="6" spans="1:14" ht="21" x14ac:dyDescent="0.4">
      <c r="A6" s="43" t="s">
        <v>38</v>
      </c>
      <c r="B6" s="44"/>
      <c r="C6" s="47" t="s">
        <v>0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8"/>
    </row>
    <row r="7" spans="1:14" ht="22.8" customHeight="1" thickBot="1" x14ac:dyDescent="0.35">
      <c r="A7" s="45"/>
      <c r="B7" s="46"/>
      <c r="C7" s="3" t="s">
        <v>1</v>
      </c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4" t="s">
        <v>12</v>
      </c>
    </row>
    <row r="8" spans="1:14" ht="15.6" x14ac:dyDescent="0.3">
      <c r="A8" s="34" t="s">
        <v>29</v>
      </c>
      <c r="B8" s="5" t="s">
        <v>16</v>
      </c>
      <c r="C8" s="5" t="s">
        <v>13</v>
      </c>
      <c r="D8" s="5"/>
      <c r="E8" s="5"/>
      <c r="F8" s="5" t="s">
        <v>14</v>
      </c>
      <c r="G8" s="5"/>
      <c r="H8" s="5"/>
      <c r="I8" s="5"/>
      <c r="J8" s="5"/>
      <c r="K8" s="5"/>
      <c r="L8" s="5"/>
      <c r="M8" s="5"/>
      <c r="N8" s="6"/>
    </row>
    <row r="9" spans="1:14" ht="15.6" x14ac:dyDescent="0.3">
      <c r="A9" s="28"/>
      <c r="B9" s="2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7"/>
    </row>
    <row r="10" spans="1:14" ht="15.6" x14ac:dyDescent="0.3">
      <c r="A10" s="28"/>
      <c r="B10" s="2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7"/>
    </row>
    <row r="11" spans="1:14" ht="15.6" x14ac:dyDescent="0.3">
      <c r="A11" s="28"/>
      <c r="B11" s="2" t="s">
        <v>26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7"/>
    </row>
    <row r="12" spans="1:14" ht="15.6" x14ac:dyDescent="0.3">
      <c r="A12" s="28"/>
      <c r="B12" s="2" t="s">
        <v>27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7"/>
    </row>
    <row r="13" spans="1:14" ht="15.6" x14ac:dyDescent="0.3">
      <c r="A13" s="28"/>
      <c r="B13" s="2" t="s">
        <v>28</v>
      </c>
      <c r="C13" s="2"/>
      <c r="D13" s="2" t="s">
        <v>15</v>
      </c>
      <c r="E13" s="2"/>
      <c r="F13" s="2"/>
      <c r="G13" s="2"/>
      <c r="H13" s="2"/>
      <c r="I13" s="2"/>
      <c r="J13" s="2"/>
      <c r="K13" s="2"/>
      <c r="L13" s="2"/>
      <c r="M13" s="2"/>
      <c r="N13" s="7"/>
    </row>
    <row r="14" spans="1:14" ht="16.2" thickBot="1" x14ac:dyDescent="0.35">
      <c r="A14" s="28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7"/>
    </row>
    <row r="15" spans="1:14" ht="15.6" customHeight="1" x14ac:dyDescent="0.3">
      <c r="A15" s="34" t="s">
        <v>30</v>
      </c>
      <c r="B15" s="2" t="s">
        <v>19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7"/>
    </row>
    <row r="16" spans="1:14" ht="15.6" x14ac:dyDescent="0.3">
      <c r="A16" s="28"/>
      <c r="B16" s="2" t="s">
        <v>20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7"/>
    </row>
    <row r="17" spans="1:14" ht="15.6" x14ac:dyDescent="0.3">
      <c r="A17" s="28"/>
      <c r="B17" s="2" t="s">
        <v>21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7"/>
    </row>
    <row r="18" spans="1:14" ht="15.6" x14ac:dyDescent="0.3">
      <c r="A18" s="28"/>
      <c r="B18" s="2" t="s">
        <v>22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7"/>
    </row>
    <row r="19" spans="1:14" ht="15.6" x14ac:dyDescent="0.3">
      <c r="A19" s="28"/>
      <c r="B19" s="2" t="s">
        <v>23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7"/>
    </row>
    <row r="20" spans="1:14" ht="15.6" x14ac:dyDescent="0.3">
      <c r="A20" s="28"/>
      <c r="B20" s="2" t="s">
        <v>24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7"/>
    </row>
    <row r="21" spans="1:14" ht="16.2" thickBot="1" x14ac:dyDescent="0.35">
      <c r="A21" s="28"/>
      <c r="B21" s="2" t="s">
        <v>25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7"/>
    </row>
    <row r="22" spans="1:14" ht="15.6" customHeight="1" x14ac:dyDescent="0.3">
      <c r="A22" s="34" t="s">
        <v>31</v>
      </c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7"/>
    </row>
    <row r="23" spans="1:14" x14ac:dyDescent="0.3">
      <c r="A23" s="28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8"/>
    </row>
    <row r="24" spans="1:14" x14ac:dyDescent="0.3">
      <c r="A24" s="28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8"/>
    </row>
    <row r="25" spans="1:14" x14ac:dyDescent="0.3">
      <c r="A25" s="28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8"/>
    </row>
    <row r="26" spans="1:14" x14ac:dyDescent="0.3">
      <c r="A26" s="28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8"/>
    </row>
    <row r="27" spans="1:14" x14ac:dyDescent="0.3">
      <c r="A27" s="28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8"/>
    </row>
    <row r="28" spans="1:14" x14ac:dyDescent="0.3">
      <c r="A28" s="28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8"/>
    </row>
    <row r="29" spans="1:14" x14ac:dyDescent="0.3">
      <c r="A29" s="28" t="s">
        <v>32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8"/>
    </row>
    <row r="30" spans="1:14" x14ac:dyDescent="0.3">
      <c r="A30" s="28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8"/>
    </row>
    <row r="31" spans="1:14" x14ac:dyDescent="0.3">
      <c r="A31" s="28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8"/>
    </row>
    <row r="32" spans="1:14" x14ac:dyDescent="0.3">
      <c r="A32" s="2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8"/>
    </row>
    <row r="33" spans="1:14" x14ac:dyDescent="0.3">
      <c r="A33" s="2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8"/>
    </row>
    <row r="34" spans="1:14" x14ac:dyDescent="0.3">
      <c r="A34" s="2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8"/>
    </row>
    <row r="35" spans="1:14" x14ac:dyDescent="0.3">
      <c r="A35" s="2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8"/>
    </row>
    <row r="36" spans="1:14" ht="14.4" customHeight="1" x14ac:dyDescent="0.3">
      <c r="A36" s="35" t="s">
        <v>33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8"/>
    </row>
    <row r="37" spans="1:14" x14ac:dyDescent="0.3">
      <c r="A37" s="28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8"/>
    </row>
    <row r="38" spans="1:14" x14ac:dyDescent="0.3">
      <c r="A38" s="28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8"/>
    </row>
    <row r="39" spans="1:14" x14ac:dyDescent="0.3">
      <c r="A39" s="28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8"/>
    </row>
    <row r="40" spans="1:14" x14ac:dyDescent="0.3">
      <c r="A40" s="28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8"/>
    </row>
    <row r="41" spans="1:14" x14ac:dyDescent="0.3">
      <c r="A41" s="28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8"/>
    </row>
    <row r="42" spans="1:14" x14ac:dyDescent="0.3">
      <c r="A42" s="28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8"/>
    </row>
    <row r="43" spans="1:14" x14ac:dyDescent="0.3">
      <c r="A43" s="28" t="s">
        <v>34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8"/>
    </row>
    <row r="44" spans="1:14" x14ac:dyDescent="0.3">
      <c r="A44" s="2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8"/>
    </row>
    <row r="45" spans="1:14" x14ac:dyDescent="0.3">
      <c r="A45" s="2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8"/>
    </row>
    <row r="46" spans="1:14" x14ac:dyDescent="0.3">
      <c r="A46" s="28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8"/>
    </row>
    <row r="47" spans="1:14" x14ac:dyDescent="0.3">
      <c r="A47" s="28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8"/>
    </row>
    <row r="48" spans="1:14" x14ac:dyDescent="0.3">
      <c r="A48" s="28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8"/>
    </row>
    <row r="49" spans="1:14" x14ac:dyDescent="0.3">
      <c r="A49" s="28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8"/>
    </row>
    <row r="50" spans="1:14" x14ac:dyDescent="0.3">
      <c r="A50" s="35" t="s">
        <v>35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8"/>
    </row>
    <row r="51" spans="1:14" x14ac:dyDescent="0.3">
      <c r="A51" s="28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8"/>
    </row>
    <row r="52" spans="1:14" x14ac:dyDescent="0.3">
      <c r="A52" s="28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8"/>
    </row>
    <row r="53" spans="1:14" x14ac:dyDescent="0.3">
      <c r="A53" s="28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8"/>
    </row>
    <row r="54" spans="1:14" x14ac:dyDescent="0.3">
      <c r="A54" s="28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8"/>
    </row>
    <row r="55" spans="1:14" x14ac:dyDescent="0.3">
      <c r="A55" s="28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8"/>
    </row>
    <row r="56" spans="1:14" x14ac:dyDescent="0.3">
      <c r="A56" s="28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8"/>
    </row>
    <row r="57" spans="1:14" x14ac:dyDescent="0.3">
      <c r="A57" s="28" t="s">
        <v>36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8"/>
    </row>
    <row r="58" spans="1:14" x14ac:dyDescent="0.3">
      <c r="A58" s="28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8"/>
    </row>
    <row r="59" spans="1:14" x14ac:dyDescent="0.3">
      <c r="A59" s="28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8"/>
    </row>
    <row r="60" spans="1:14" x14ac:dyDescent="0.3">
      <c r="A60" s="28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8"/>
    </row>
    <row r="61" spans="1:14" x14ac:dyDescent="0.3">
      <c r="A61" s="28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8"/>
    </row>
    <row r="62" spans="1:14" x14ac:dyDescent="0.3">
      <c r="A62" s="28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8"/>
    </row>
    <row r="63" spans="1:14" ht="15" thickBot="1" x14ac:dyDescent="0.35">
      <c r="A63" s="2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10"/>
    </row>
    <row r="66" spans="2:2" ht="17.399999999999999" x14ac:dyDescent="0.3">
      <c r="B66" s="12" t="s">
        <v>41</v>
      </c>
    </row>
    <row r="67" spans="2:2" ht="18" x14ac:dyDescent="0.35">
      <c r="B67" s="11" t="s">
        <v>43</v>
      </c>
    </row>
    <row r="68" spans="2:2" ht="18" x14ac:dyDescent="0.35">
      <c r="B68" s="11" t="s">
        <v>42</v>
      </c>
    </row>
    <row r="69" spans="2:2" ht="18" x14ac:dyDescent="0.35">
      <c r="B69" s="11" t="s">
        <v>44</v>
      </c>
    </row>
  </sheetData>
  <mergeCells count="13">
    <mergeCell ref="A57:A63"/>
    <mergeCell ref="A36:A42"/>
    <mergeCell ref="A43:A49"/>
    <mergeCell ref="A29:A35"/>
    <mergeCell ref="C6:N6"/>
    <mergeCell ref="A8:A14"/>
    <mergeCell ref="A15:A21"/>
    <mergeCell ref="A50:A56"/>
    <mergeCell ref="A1:N1"/>
    <mergeCell ref="A3:N3"/>
    <mergeCell ref="A5:B5"/>
    <mergeCell ref="A6:B7"/>
    <mergeCell ref="A22:A28"/>
  </mergeCells>
  <phoneticPr fontId="1" type="noConversion"/>
  <pageMargins left="0.7" right="0.61" top="0.75" bottom="0.75" header="0.36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Zahoor</dc:creator>
  <cp:lastModifiedBy>Zahoor</cp:lastModifiedBy>
  <cp:lastPrinted>2026-09-25T10:21:38Z</cp:lastPrinted>
  <dcterms:created xsi:type="dcterms:W3CDTF">2015-06-05T18:17:20Z</dcterms:created>
  <dcterms:modified xsi:type="dcterms:W3CDTF">2026-09-26T11:13:56Z</dcterms:modified>
</cp:coreProperties>
</file>